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bala\Nextcloud4\ESM_ZORRO_II\docs\Internal_dokus\"/>
    </mc:Choice>
  </mc:AlternateContent>
  <bookViews>
    <workbookView xWindow="0" yWindow="0" windowWidth="28800" windowHeight="12300"/>
  </bookViews>
  <sheets>
    <sheet name="Potenziale" sheetId="5" r:id="rId1"/>
    <sheet name="Methan" sheetId="1" r:id="rId2"/>
    <sheet name="Verbrennung" sheetId="2" r:id="rId3"/>
    <sheet name="Verbrennung_Müll" sheetId="3" r:id="rId4"/>
  </sheets>
  <calcPr calcId="162913"/>
</workbook>
</file>

<file path=xl/calcChain.xml><?xml version="1.0" encoding="utf-8"?>
<calcChain xmlns="http://schemas.openxmlformats.org/spreadsheetml/2006/main">
  <c r="F16" i="5" l="1"/>
  <c r="F17" i="5"/>
  <c r="F15" i="5"/>
  <c r="E6" i="5"/>
  <c r="D6" i="5"/>
  <c r="C6" i="5"/>
  <c r="B6" i="5"/>
  <c r="E5" i="5"/>
  <c r="D5" i="5"/>
  <c r="C5" i="5"/>
  <c r="B5" i="5"/>
  <c r="E4" i="5"/>
  <c r="D4" i="5"/>
  <c r="C4" i="5"/>
  <c r="B4" i="5"/>
  <c r="E9" i="5"/>
  <c r="D9" i="5"/>
  <c r="C9" i="5"/>
  <c r="B9" i="5"/>
  <c r="E8" i="5"/>
  <c r="D8" i="5"/>
  <c r="C8" i="5"/>
  <c r="B8" i="5"/>
  <c r="B10" i="5" s="1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C30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C29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C28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C27" i="1"/>
  <c r="D10" i="5" l="1"/>
  <c r="B7" i="5"/>
  <c r="C10" i="5"/>
  <c r="E10" i="5"/>
  <c r="F9" i="5"/>
  <c r="D7" i="5"/>
  <c r="C7" i="5"/>
  <c r="F4" i="5"/>
  <c r="E7" i="5"/>
  <c r="F5" i="5"/>
  <c r="F6" i="5"/>
  <c r="F8" i="5"/>
  <c r="F7" i="5" l="1"/>
  <c r="F10" i="5"/>
</calcChain>
</file>

<file path=xl/sharedStrings.xml><?xml version="1.0" encoding="utf-8"?>
<sst xmlns="http://schemas.openxmlformats.org/spreadsheetml/2006/main" count="268" uniqueCount="114">
  <si>
    <t>Landkreise</t>
  </si>
  <si>
    <t>Planungsregion</t>
  </si>
  <si>
    <t>Geflügel</t>
  </si>
  <si>
    <t>Huhn</t>
  </si>
  <si>
    <t>Pferd</t>
  </si>
  <si>
    <t>Rind</t>
  </si>
  <si>
    <t>Schaf</t>
  </si>
  <si>
    <t>Schwein</t>
  </si>
  <si>
    <t>Ziege</t>
  </si>
  <si>
    <t>Energie_Biogut</t>
  </si>
  <si>
    <t>Energie_Grüngut</t>
  </si>
  <si>
    <t>GPS</t>
  </si>
  <si>
    <t>Getreide</t>
  </si>
  <si>
    <t>Grassilage</t>
  </si>
  <si>
    <t>Silomais</t>
  </si>
  <si>
    <t>Zuckerrübe</t>
  </si>
  <si>
    <t>Altenburger Land</t>
  </si>
  <si>
    <t>Ostthüringen</t>
  </si>
  <si>
    <t>Eichsfeld</t>
  </si>
  <si>
    <t>Nordthüringen</t>
  </si>
  <si>
    <t>Gotha</t>
  </si>
  <si>
    <t>Mittelthüringen</t>
  </si>
  <si>
    <t>Greiz</t>
  </si>
  <si>
    <t>Hildburghausen</t>
  </si>
  <si>
    <t>Südwestthüringen</t>
  </si>
  <si>
    <t>Ilm-Kreis</t>
  </si>
  <si>
    <t>Kyffhäuserkreis</t>
  </si>
  <si>
    <t>Nordhausen</t>
  </si>
  <si>
    <t>Saale-Holzland-Kreis</t>
  </si>
  <si>
    <t>Saale-Orla-Kreis</t>
  </si>
  <si>
    <t>Saalfeld-Rudolstadt</t>
  </si>
  <si>
    <t>Schmalkalden-Meiningen</t>
  </si>
  <si>
    <t>Sonneberg</t>
  </si>
  <si>
    <t>Stadt Eisenach</t>
  </si>
  <si>
    <t>Stadt Erfurt</t>
  </si>
  <si>
    <t>Stadt Gera</t>
  </si>
  <si>
    <t>Stadt Jena</t>
  </si>
  <si>
    <t>Stadt Suhl</t>
  </si>
  <si>
    <t>Stadt Weimar</t>
  </si>
  <si>
    <t>Sömmerda</t>
  </si>
  <si>
    <t>Thüringen</t>
  </si>
  <si>
    <t>Unstrut-Hainich-Kreis</t>
  </si>
  <si>
    <t>Wartburgkreis</t>
  </si>
  <si>
    <t>Weimarer Land</t>
  </si>
  <si>
    <t>Roggen</t>
  </si>
  <si>
    <t>Triticale</t>
  </si>
  <si>
    <t>Wintergerste</t>
  </si>
  <si>
    <t>Sommergerste</t>
  </si>
  <si>
    <t>Hafer</t>
  </si>
  <si>
    <t>Weizen</t>
  </si>
  <si>
    <t>Raps</t>
  </si>
  <si>
    <t>Rinde_Burn</t>
  </si>
  <si>
    <t>Energieholz_Burn</t>
  </si>
  <si>
    <t>Industrierest_Burn</t>
  </si>
  <si>
    <t>Waldrest_Burn</t>
  </si>
  <si>
    <t>Sägenebenprodukte_Burn</t>
  </si>
  <si>
    <t>Altholz_Burn</t>
  </si>
  <si>
    <t>Hausmüll</t>
  </si>
  <si>
    <t>Sperrmüll</t>
  </si>
  <si>
    <t>Energie_Rest</t>
  </si>
  <si>
    <t>Energie_Sperr</t>
  </si>
  <si>
    <t>Planungsregion Nord</t>
  </si>
  <si>
    <t>Planungsregion Mitte</t>
  </si>
  <si>
    <t>Planungsregion Süd</t>
  </si>
  <si>
    <t>AWV-Ostthüringen (Landkreis Greiz, Stadt Gera)</t>
  </si>
  <si>
    <t>ZASO (Saalfeld-Rudolstadt, Saale-Orla-Kreis)</t>
  </si>
  <si>
    <t>Planungsregion Ost</t>
  </si>
  <si>
    <t>Potential</t>
  </si>
  <si>
    <t>Nord</t>
  </si>
  <si>
    <t>Mittel</t>
  </si>
  <si>
    <t>Ost</t>
  </si>
  <si>
    <t>Swest</t>
  </si>
  <si>
    <t>Gesamt_Thüringen</t>
  </si>
  <si>
    <t>Einheit</t>
  </si>
  <si>
    <t>Holz</t>
  </si>
  <si>
    <t>MWh</t>
  </si>
  <si>
    <t>Methan_tiere</t>
  </si>
  <si>
    <t>Nordthuringen</t>
  </si>
  <si>
    <t>Methan_pflanzen</t>
  </si>
  <si>
    <t>Methan_gesamt</t>
  </si>
  <si>
    <t>Stroh</t>
  </si>
  <si>
    <t>Müll</t>
  </si>
  <si>
    <t>Verbrennung_summe</t>
  </si>
  <si>
    <t>Wind</t>
  </si>
  <si>
    <t>MW</t>
  </si>
  <si>
    <t>PV Freifeld</t>
  </si>
  <si>
    <t>PV Rooftop</t>
  </si>
  <si>
    <t>Hydro</t>
  </si>
  <si>
    <t>ST</t>
  </si>
  <si>
    <r>
      <t>km</t>
    </r>
    <r>
      <rPr>
        <vertAlign val="superscript"/>
        <sz val="11"/>
        <color theme="1"/>
        <rFont val="Calibri"/>
        <family val="2"/>
        <scheme val="minor"/>
      </rPr>
      <t>2</t>
    </r>
  </si>
  <si>
    <t>Umweltwärme</t>
  </si>
  <si>
    <t xml:space="preserve">MW </t>
  </si>
  <si>
    <t>Abwärme</t>
  </si>
  <si>
    <t>Braunkohle</t>
  </si>
  <si>
    <t>Steinkohle</t>
  </si>
  <si>
    <t>Brennstoffzelle</t>
  </si>
  <si>
    <t>Methanisierung</t>
  </si>
  <si>
    <t>PtL</t>
  </si>
  <si>
    <t>GuD</t>
  </si>
  <si>
    <t>Elektrolyse</t>
  </si>
  <si>
    <t>Pumpspeicher Neu</t>
  </si>
  <si>
    <t>Großbatterie</t>
  </si>
  <si>
    <t>Pumpspeicher Kapazität_neu</t>
  </si>
  <si>
    <t>Pumpspeicher Kapazität_bestand</t>
  </si>
  <si>
    <t>Gasspeicher</t>
  </si>
  <si>
    <t>H2 Speicher</t>
  </si>
  <si>
    <t>Speicher</t>
  </si>
  <si>
    <t>Technologien</t>
  </si>
  <si>
    <t>Begrenzung</t>
  </si>
  <si>
    <t>Import H2</t>
  </si>
  <si>
    <t>Fernwärme Speicher</t>
  </si>
  <si>
    <t>Saisonale Speicher</t>
  </si>
  <si>
    <t>Netz</t>
  </si>
  <si>
    <t>Rohstoffe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</si>
</sst>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  <font>
      <vertAlign val="superscript"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1" xfId="0" applyFont="1" applyBorder="1" applyAlignment="1">
      <alignment horizontal="center" vertical="top"/>
    </xf>
    <xf numFmtId="0" fontId="2" fillId="0" borderId="0" xfId="0" applyFont="1" applyFill="1" applyBorder="1" applyAlignment="1">
      <alignment horizontal="center" vertical="top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2" fontId="0" fillId="0" borderId="0" xfId="0" applyNumberFormat="1"/>
    <xf numFmtId="0" fontId="1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G43"/>
  <sheetViews>
    <sheetView tabSelected="1" workbookViewId="0">
      <selection activeCell="A3" sqref="A3"/>
    </sheetView>
  </sheetViews>
  <sheetFormatPr baseColWidth="10" defaultRowHeight="15" x14ac:dyDescent="0.25"/>
  <cols>
    <col min="1" max="1" width="31.85546875" style="14" customWidth="1"/>
    <col min="4" max="4" width="12" bestFit="1" customWidth="1"/>
    <col min="6" max="6" width="18" bestFit="1" customWidth="1"/>
    <col min="7" max="7" width="11.42578125" style="18"/>
  </cols>
  <sheetData>
    <row r="1" spans="1:7" s="11" customFormat="1" x14ac:dyDescent="0.25">
      <c r="A1" s="5" t="s">
        <v>67</v>
      </c>
      <c r="B1" s="5" t="s">
        <v>68</v>
      </c>
      <c r="C1" s="5" t="s">
        <v>69</v>
      </c>
      <c r="D1" s="5" t="s">
        <v>70</v>
      </c>
      <c r="E1" s="5" t="s">
        <v>71</v>
      </c>
      <c r="F1" s="5" t="s">
        <v>72</v>
      </c>
      <c r="G1" s="16" t="s">
        <v>73</v>
      </c>
    </row>
    <row r="2" spans="1:7" s="11" customFormat="1" x14ac:dyDescent="0.25">
      <c r="A2" s="6"/>
      <c r="G2" s="17"/>
    </row>
    <row r="3" spans="1:7" s="11" customFormat="1" x14ac:dyDescent="0.25">
      <c r="A3" s="15" t="s">
        <v>113</v>
      </c>
      <c r="G3" s="17"/>
    </row>
    <row r="4" spans="1:7" x14ac:dyDescent="0.25">
      <c r="A4" s="8" t="s">
        <v>74</v>
      </c>
      <c r="B4">
        <f>SUM(Verbrennung!J27:O27)/1000</f>
        <v>572394.53470762249</v>
      </c>
      <c r="C4">
        <f>SUM(Verbrennung!J28:O28)/1000</f>
        <v>516196.64883731294</v>
      </c>
      <c r="D4">
        <f>SUM(Verbrennung!J29:O29)/1000</f>
        <v>1035818.1308690638</v>
      </c>
      <c r="E4">
        <f>SUM(Verbrennung!J30:O30)/1000</f>
        <v>1203001.4662521346</v>
      </c>
      <c r="F4">
        <f>B4+C4+D4+E4</f>
        <v>3327410.7806661339</v>
      </c>
      <c r="G4" s="18" t="s">
        <v>75</v>
      </c>
    </row>
    <row r="5" spans="1:7" x14ac:dyDescent="0.25">
      <c r="A5" s="7" t="s">
        <v>80</v>
      </c>
      <c r="B5">
        <f>SUM(Verbrennung!C27:I27)/1000</f>
        <v>746974.33816116117</v>
      </c>
      <c r="C5">
        <f>SUM(Verbrennung!C28:I28)/1000</f>
        <v>621648.32436281757</v>
      </c>
      <c r="D5">
        <f>SUM(Verbrennung!C29:I29)/1000</f>
        <v>615801.06345274416</v>
      </c>
      <c r="E5">
        <f>SUM(Verbrennung!C30:I30)/1000</f>
        <v>236058.27385747543</v>
      </c>
      <c r="F5">
        <f>B5+C5+D5+E5</f>
        <v>2220481.9998341985</v>
      </c>
      <c r="G5" s="18" t="s">
        <v>75</v>
      </c>
    </row>
    <row r="6" spans="1:7" x14ac:dyDescent="0.25">
      <c r="A6" s="7" t="s">
        <v>81</v>
      </c>
      <c r="B6">
        <f>SUM(Verbrennung_Müll!D32:E32)/1000</f>
        <v>181432.6666666666</v>
      </c>
      <c r="C6">
        <f>SUM(Verbrennung_Müll!D33:E33)/1000</f>
        <v>350055</v>
      </c>
      <c r="D6">
        <f>SUM(Verbrennung_Müll!D34:E34)/1000</f>
        <v>222081.22222222228</v>
      </c>
      <c r="E6">
        <f>SUM(Verbrennung_Müll!D35:E35)/1000</f>
        <v>302324.5555555555</v>
      </c>
      <c r="F6">
        <f>B6+C6+D6+E6</f>
        <v>1055893.4444444445</v>
      </c>
      <c r="G6" s="18" t="s">
        <v>75</v>
      </c>
    </row>
    <row r="7" spans="1:7" x14ac:dyDescent="0.25">
      <c r="A7" s="9" t="s">
        <v>82</v>
      </c>
      <c r="B7" s="4">
        <f>B6+B5+B4</f>
        <v>1500801.5395354503</v>
      </c>
      <c r="C7" s="4">
        <f t="shared" ref="C7:F7" si="0">C6+C5+C4</f>
        <v>1487899.9732001305</v>
      </c>
      <c r="D7" s="4">
        <f t="shared" si="0"/>
        <v>1873700.4165440302</v>
      </c>
      <c r="E7" s="4">
        <f t="shared" si="0"/>
        <v>1741384.2956651656</v>
      </c>
      <c r="F7" s="4">
        <f t="shared" si="0"/>
        <v>6603786.2249447769</v>
      </c>
      <c r="G7" s="19" t="s">
        <v>75</v>
      </c>
    </row>
    <row r="8" spans="1:7" x14ac:dyDescent="0.25">
      <c r="A8" s="7" t="s">
        <v>76</v>
      </c>
      <c r="B8">
        <f>SUM(Methan!C27:I27)/1000</f>
        <v>145717.20315783445</v>
      </c>
      <c r="C8">
        <f>SUM(Methan!C28:I28)/1000</f>
        <v>176262.19128611524</v>
      </c>
      <c r="D8">
        <f>SUM(Methan!C29:I29)/1000</f>
        <v>344842.74629193882</v>
      </c>
      <c r="E8">
        <f>SUM(Methan!C30:I30)/1000</f>
        <v>234293.80724188851</v>
      </c>
      <c r="F8">
        <f>B8+C8+D8+E8</f>
        <v>901115.94797777699</v>
      </c>
      <c r="G8" s="18" t="s">
        <v>75</v>
      </c>
    </row>
    <row r="9" spans="1:7" x14ac:dyDescent="0.25">
      <c r="A9" s="7" t="s">
        <v>78</v>
      </c>
      <c r="B9">
        <f>SUM(Methan!J27:P27)/1000</f>
        <v>801686.64777531044</v>
      </c>
      <c r="C9">
        <f>SUM(Methan!J28:P28)/1000</f>
        <v>883845.43891775142</v>
      </c>
      <c r="D9">
        <f>SUM(Methan!P29:P29)/1000</f>
        <v>16595.475737276854</v>
      </c>
      <c r="E9">
        <f>SUM(Methan!J30:P30)/1000</f>
        <v>389006.92449074663</v>
      </c>
      <c r="F9">
        <f>+B9+C9+D9+E9</f>
        <v>2091134.4869210855</v>
      </c>
      <c r="G9" s="18" t="s">
        <v>75</v>
      </c>
    </row>
    <row r="10" spans="1:7" x14ac:dyDescent="0.25">
      <c r="A10" s="9" t="s">
        <v>79</v>
      </c>
      <c r="B10" s="4">
        <f>B8+B9</f>
        <v>947403.85093314492</v>
      </c>
      <c r="C10" s="4">
        <f t="shared" ref="C10:F10" si="1">C8+C9</f>
        <v>1060107.6302038666</v>
      </c>
      <c r="D10" s="4">
        <f t="shared" si="1"/>
        <v>361438.22202921566</v>
      </c>
      <c r="E10" s="4">
        <f t="shared" si="1"/>
        <v>623300.73173263518</v>
      </c>
      <c r="F10" s="4">
        <f t="shared" si="1"/>
        <v>2992250.4348988626</v>
      </c>
      <c r="G10" s="19" t="s">
        <v>75</v>
      </c>
    </row>
    <row r="11" spans="1:7" x14ac:dyDescent="0.25">
      <c r="A11" s="7" t="s">
        <v>93</v>
      </c>
      <c r="F11" s="10">
        <v>42.174023339999998</v>
      </c>
      <c r="G11" s="18" t="s">
        <v>75</v>
      </c>
    </row>
    <row r="12" spans="1:7" x14ac:dyDescent="0.25">
      <c r="A12" s="7" t="s">
        <v>94</v>
      </c>
      <c r="F12" s="10">
        <v>5.7077625569999997</v>
      </c>
      <c r="G12" s="18" t="s">
        <v>75</v>
      </c>
    </row>
    <row r="13" spans="1:7" x14ac:dyDescent="0.25">
      <c r="A13" s="7"/>
      <c r="F13" s="10"/>
    </row>
    <row r="14" spans="1:7" x14ac:dyDescent="0.25">
      <c r="A14" s="12" t="s">
        <v>107</v>
      </c>
      <c r="F14" s="10"/>
    </row>
    <row r="15" spans="1:7" x14ac:dyDescent="0.25">
      <c r="A15" s="7" t="s">
        <v>83</v>
      </c>
      <c r="B15">
        <v>1210</v>
      </c>
      <c r="C15">
        <v>1640</v>
      </c>
      <c r="D15">
        <v>1820</v>
      </c>
      <c r="E15">
        <v>900</v>
      </c>
      <c r="F15">
        <f>B15+C15+D15+E15</f>
        <v>5570</v>
      </c>
      <c r="G15" s="18" t="s">
        <v>84</v>
      </c>
    </row>
    <row r="16" spans="1:7" x14ac:dyDescent="0.25">
      <c r="A16" s="7" t="s">
        <v>85</v>
      </c>
      <c r="B16">
        <v>4070</v>
      </c>
      <c r="C16">
        <v>5920</v>
      </c>
      <c r="D16">
        <v>4740</v>
      </c>
      <c r="E16">
        <v>2680</v>
      </c>
      <c r="F16">
        <f>B16+C16+D16+E16</f>
        <v>17410</v>
      </c>
      <c r="G16" s="18" t="s">
        <v>84</v>
      </c>
    </row>
    <row r="17" spans="1:7" x14ac:dyDescent="0.25">
      <c r="A17" s="7" t="s">
        <v>86</v>
      </c>
      <c r="B17">
        <v>1120</v>
      </c>
      <c r="C17">
        <v>1610</v>
      </c>
      <c r="D17">
        <v>1680</v>
      </c>
      <c r="E17">
        <v>1260</v>
      </c>
      <c r="F17">
        <f>B17+C17+D17+E17</f>
        <v>5670</v>
      </c>
      <c r="G17" s="18" t="s">
        <v>84</v>
      </c>
    </row>
    <row r="18" spans="1:7" x14ac:dyDescent="0.25">
      <c r="A18" s="7" t="s">
        <v>87</v>
      </c>
      <c r="F18">
        <v>31</v>
      </c>
      <c r="G18" s="18" t="s">
        <v>84</v>
      </c>
    </row>
    <row r="19" spans="1:7" ht="17.25" x14ac:dyDescent="0.25">
      <c r="A19" s="7" t="s">
        <v>88</v>
      </c>
      <c r="F19">
        <v>353.09</v>
      </c>
      <c r="G19" s="18" t="s">
        <v>89</v>
      </c>
    </row>
    <row r="20" spans="1:7" x14ac:dyDescent="0.25">
      <c r="A20" s="7" t="s">
        <v>90</v>
      </c>
      <c r="F20">
        <v>890</v>
      </c>
      <c r="G20" s="18" t="s">
        <v>91</v>
      </c>
    </row>
    <row r="21" spans="1:7" x14ac:dyDescent="0.25">
      <c r="A21" s="7" t="s">
        <v>92</v>
      </c>
      <c r="F21">
        <v>137</v>
      </c>
      <c r="G21" s="18" t="s">
        <v>84</v>
      </c>
    </row>
    <row r="22" spans="1:7" x14ac:dyDescent="0.25">
      <c r="A22" s="7" t="s">
        <v>95</v>
      </c>
      <c r="F22">
        <v>1427</v>
      </c>
      <c r="G22" s="18" t="s">
        <v>84</v>
      </c>
    </row>
    <row r="23" spans="1:7" x14ac:dyDescent="0.25">
      <c r="A23" s="7" t="s">
        <v>96</v>
      </c>
      <c r="F23">
        <v>6584</v>
      </c>
      <c r="G23" s="18" t="s">
        <v>84</v>
      </c>
    </row>
    <row r="24" spans="1:7" x14ac:dyDescent="0.25">
      <c r="A24" s="7" t="s">
        <v>97</v>
      </c>
      <c r="F24">
        <v>7772</v>
      </c>
      <c r="G24" s="18" t="s">
        <v>84</v>
      </c>
    </row>
    <row r="25" spans="1:7" x14ac:dyDescent="0.25">
      <c r="A25" s="7" t="s">
        <v>98</v>
      </c>
      <c r="F25">
        <v>444.5</v>
      </c>
      <c r="G25" s="18" t="s">
        <v>84</v>
      </c>
    </row>
    <row r="26" spans="1:7" x14ac:dyDescent="0.25">
      <c r="A26" s="7" t="s">
        <v>99</v>
      </c>
      <c r="F26">
        <v>2375</v>
      </c>
      <c r="G26" s="18" t="s">
        <v>84</v>
      </c>
    </row>
    <row r="27" spans="1:7" x14ac:dyDescent="0.25">
      <c r="A27" s="7" t="s">
        <v>100</v>
      </c>
      <c r="F27">
        <v>4830</v>
      </c>
      <c r="G27" s="18" t="s">
        <v>84</v>
      </c>
    </row>
    <row r="28" spans="1:7" x14ac:dyDescent="0.25">
      <c r="A28" s="7"/>
    </row>
    <row r="29" spans="1:7" x14ac:dyDescent="0.25">
      <c r="A29" s="12" t="s">
        <v>106</v>
      </c>
    </row>
    <row r="30" spans="1:7" x14ac:dyDescent="0.25">
      <c r="A30" s="7" t="s">
        <v>103</v>
      </c>
      <c r="F30">
        <v>2376</v>
      </c>
      <c r="G30" s="18" t="s">
        <v>75</v>
      </c>
    </row>
    <row r="31" spans="1:7" x14ac:dyDescent="0.25">
      <c r="A31" s="7" t="s">
        <v>102</v>
      </c>
      <c r="F31">
        <v>38640</v>
      </c>
      <c r="G31" s="18" t="s">
        <v>75</v>
      </c>
    </row>
    <row r="32" spans="1:7" x14ac:dyDescent="0.25">
      <c r="A32" s="7" t="s">
        <v>101</v>
      </c>
      <c r="F32">
        <v>5000</v>
      </c>
      <c r="G32" s="18" t="s">
        <v>75</v>
      </c>
    </row>
    <row r="33" spans="1:7" x14ac:dyDescent="0.25">
      <c r="A33" s="7" t="s">
        <v>104</v>
      </c>
      <c r="F33">
        <v>1100000</v>
      </c>
      <c r="G33" s="18" t="s">
        <v>75</v>
      </c>
    </row>
    <row r="34" spans="1:7" x14ac:dyDescent="0.25">
      <c r="A34" s="7" t="s">
        <v>105</v>
      </c>
      <c r="F34">
        <v>1255000</v>
      </c>
      <c r="G34" s="18" t="s">
        <v>75</v>
      </c>
    </row>
    <row r="35" spans="1:7" x14ac:dyDescent="0.25">
      <c r="A35" s="7"/>
    </row>
    <row r="36" spans="1:7" x14ac:dyDescent="0.25">
      <c r="A36" s="12" t="s">
        <v>108</v>
      </c>
    </row>
    <row r="37" spans="1:7" x14ac:dyDescent="0.25">
      <c r="A37" s="7" t="s">
        <v>109</v>
      </c>
      <c r="F37">
        <v>308</v>
      </c>
      <c r="G37" s="18" t="s">
        <v>84</v>
      </c>
    </row>
    <row r="38" spans="1:7" x14ac:dyDescent="0.25">
      <c r="A38" s="7" t="s">
        <v>110</v>
      </c>
      <c r="F38">
        <v>20833</v>
      </c>
      <c r="G38" s="18" t="s">
        <v>84</v>
      </c>
    </row>
    <row r="39" spans="1:7" x14ac:dyDescent="0.25">
      <c r="A39" s="7" t="s">
        <v>111</v>
      </c>
      <c r="F39">
        <v>1580</v>
      </c>
      <c r="G39" s="18" t="s">
        <v>84</v>
      </c>
    </row>
    <row r="40" spans="1:7" x14ac:dyDescent="0.25">
      <c r="A40" s="7" t="s">
        <v>112</v>
      </c>
      <c r="F40">
        <v>20000</v>
      </c>
      <c r="G40" s="18" t="s">
        <v>84</v>
      </c>
    </row>
    <row r="41" spans="1:7" x14ac:dyDescent="0.25">
      <c r="A41" s="7"/>
    </row>
    <row r="42" spans="1:7" x14ac:dyDescent="0.25">
      <c r="A42" s="7"/>
    </row>
    <row r="43" spans="1:7" x14ac:dyDescent="0.25">
      <c r="A43" s="13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workbookViewId="0">
      <selection activeCell="I1" sqref="I1:I1048576"/>
    </sheetView>
  </sheetViews>
  <sheetFormatPr baseColWidth="10" defaultColWidth="9.140625" defaultRowHeight="15" x14ac:dyDescent="0.25"/>
  <cols>
    <col min="1" max="1" width="30.5703125" customWidth="1"/>
    <col min="2" max="2" width="28.5703125" customWidth="1"/>
    <col min="10" max="10" width="27.42578125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2" spans="1:16" x14ac:dyDescent="0.25">
      <c r="A2" s="1" t="s">
        <v>16</v>
      </c>
      <c r="B2" t="s">
        <v>17</v>
      </c>
      <c r="C2">
        <v>659620.50746718759</v>
      </c>
      <c r="D2">
        <v>156697.10747294061</v>
      </c>
      <c r="E2">
        <v>555161.22258792724</v>
      </c>
      <c r="F2">
        <v>31361529.24502391</v>
      </c>
      <c r="G2">
        <v>86569.418035627445</v>
      </c>
      <c r="H2">
        <v>3148854.9076012759</v>
      </c>
      <c r="I2">
        <v>569017.73410508223</v>
      </c>
      <c r="J2">
        <v>4037257.7820000001</v>
      </c>
      <c r="K2">
        <v>5020209.1218128381</v>
      </c>
      <c r="L2">
        <v>217874.25713230891</v>
      </c>
      <c r="M2">
        <v>78142696.092165291</v>
      </c>
      <c r="N2">
        <v>816089.29003962339</v>
      </c>
      <c r="O2">
        <v>90189627.211852312</v>
      </c>
      <c r="P2">
        <v>12262982.69172089</v>
      </c>
    </row>
    <row r="3" spans="1:16" x14ac:dyDescent="0.25">
      <c r="A3" s="1" t="s">
        <v>18</v>
      </c>
      <c r="B3" t="s">
        <v>19</v>
      </c>
      <c r="C3">
        <v>12752.365209609379</v>
      </c>
      <c r="D3">
        <v>127487.2222466224</v>
      </c>
      <c r="E3">
        <v>2592410.019592864</v>
      </c>
      <c r="F3">
        <v>46825098.836131424</v>
      </c>
      <c r="G3">
        <v>274025.78786554543</v>
      </c>
      <c r="H3">
        <v>2524565.662709475</v>
      </c>
      <c r="I3">
        <v>42290.253307183557</v>
      </c>
      <c r="J3">
        <v>544481.64</v>
      </c>
      <c r="K3">
        <v>7771489.1895695124</v>
      </c>
      <c r="L3">
        <v>653622.7713969266</v>
      </c>
      <c r="M3">
        <v>86408438.362136364</v>
      </c>
      <c r="N3">
        <v>307600.89080029621</v>
      </c>
      <c r="O3">
        <v>71113535.517355263</v>
      </c>
      <c r="P3">
        <v>3190554.9911730909</v>
      </c>
    </row>
    <row r="4" spans="1:16" x14ac:dyDescent="0.25">
      <c r="A4" s="1" t="s">
        <v>20</v>
      </c>
      <c r="B4" t="s">
        <v>21</v>
      </c>
      <c r="C4">
        <v>134915.52864562499</v>
      </c>
      <c r="D4">
        <v>13661081.58436388</v>
      </c>
      <c r="E4">
        <v>2674388.2240141002</v>
      </c>
      <c r="F4">
        <v>34984074.57991755</v>
      </c>
      <c r="G4">
        <v>831966.79413097026</v>
      </c>
      <c r="H4">
        <v>1426170.1700649329</v>
      </c>
      <c r="I4">
        <v>91232.906011002735</v>
      </c>
      <c r="J4">
        <v>3021137.3160000001</v>
      </c>
      <c r="K4">
        <v>2075988.6485759609</v>
      </c>
      <c r="L4">
        <v>653622.7713969266</v>
      </c>
      <c r="M4">
        <v>80350703.92669557</v>
      </c>
      <c r="N4">
        <v>1176065.908352531</v>
      </c>
      <c r="O4">
        <v>110224457.2781208</v>
      </c>
      <c r="P4">
        <v>6516443.0177300964</v>
      </c>
    </row>
    <row r="5" spans="1:16" x14ac:dyDescent="0.25">
      <c r="A5" s="1" t="s">
        <v>22</v>
      </c>
      <c r="B5" t="s">
        <v>17</v>
      </c>
      <c r="C5">
        <v>2478.3220368749999</v>
      </c>
      <c r="D5">
        <v>848651.8669209918</v>
      </c>
      <c r="E5">
        <v>2867880.8976848121</v>
      </c>
      <c r="F5">
        <v>76675260.558744535</v>
      </c>
      <c r="G5">
        <v>277642.07216541382</v>
      </c>
      <c r="H5">
        <v>5353625.296368205</v>
      </c>
      <c r="I5">
        <v>22808.22650275068</v>
      </c>
      <c r="J5">
        <v>2992734.2105136001</v>
      </c>
      <c r="K5">
        <v>3221395.277028345</v>
      </c>
      <c r="L5">
        <v>0</v>
      </c>
      <c r="M5">
        <v>73320406.981551096</v>
      </c>
      <c r="N5">
        <v>827038.4702472277</v>
      </c>
      <c r="O5">
        <v>136961928.41362259</v>
      </c>
      <c r="P5">
        <v>1616128.224875347</v>
      </c>
    </row>
    <row r="6" spans="1:16" x14ac:dyDescent="0.25">
      <c r="A6" s="1" t="s">
        <v>23</v>
      </c>
      <c r="B6" t="s">
        <v>24</v>
      </c>
      <c r="C6">
        <v>372.15166992187511</v>
      </c>
      <c r="D6">
        <v>6023.3528819388584</v>
      </c>
      <c r="E6">
        <v>1161860.2133965581</v>
      </c>
      <c r="F6">
        <v>49219120.57062158</v>
      </c>
      <c r="G6">
        <v>1086656.5312502801</v>
      </c>
      <c r="H6">
        <v>2381846.0461491742</v>
      </c>
      <c r="I6">
        <v>104062.5334188</v>
      </c>
      <c r="J6">
        <v>2364080.4180000001</v>
      </c>
      <c r="K6">
        <v>806215.26575656654</v>
      </c>
      <c r="L6">
        <v>217874.25713230891</v>
      </c>
      <c r="M6">
        <v>27558535.431214061</v>
      </c>
      <c r="N6">
        <v>2373274.934063382</v>
      </c>
      <c r="O6">
        <v>70929584.444753602</v>
      </c>
      <c r="P6">
        <v>0</v>
      </c>
    </row>
    <row r="7" spans="1:16" x14ac:dyDescent="0.25">
      <c r="A7" s="1" t="s">
        <v>25</v>
      </c>
      <c r="B7" t="s">
        <v>21</v>
      </c>
      <c r="C7">
        <v>6387.3711646875017</v>
      </c>
      <c r="D7">
        <v>26612.658009060859</v>
      </c>
      <c r="E7">
        <v>2190204.4541511768</v>
      </c>
      <c r="F7">
        <v>25167493.580288809</v>
      </c>
      <c r="G7">
        <v>580302.92754828522</v>
      </c>
      <c r="H7">
        <v>6436063.5409586411</v>
      </c>
      <c r="I7">
        <v>58446.080413298638</v>
      </c>
      <c r="J7">
        <v>4006354.77</v>
      </c>
      <c r="K7">
        <v>4527835.2299055643</v>
      </c>
      <c r="L7">
        <v>871497.02852923551</v>
      </c>
      <c r="M7">
        <v>42403101.985575072</v>
      </c>
      <c r="N7">
        <v>370059.89569201512</v>
      </c>
      <c r="O7">
        <v>40511873.638195269</v>
      </c>
      <c r="P7">
        <v>4916838.0122911585</v>
      </c>
    </row>
    <row r="8" spans="1:16" x14ac:dyDescent="0.25">
      <c r="A8" s="1" t="s">
        <v>26</v>
      </c>
      <c r="B8" t="s">
        <v>19</v>
      </c>
      <c r="C8">
        <v>263892.34897851571</v>
      </c>
      <c r="D8">
        <v>360512.19361628999</v>
      </c>
      <c r="E8">
        <v>981025.9389379496</v>
      </c>
      <c r="F8">
        <v>15060775.48325517</v>
      </c>
      <c r="G8">
        <v>1145697.9075746641</v>
      </c>
      <c r="H8">
        <v>4792214.434767358</v>
      </c>
      <c r="I8">
        <v>103112.1906478521</v>
      </c>
      <c r="J8">
        <v>7271773.0380000006</v>
      </c>
      <c r="K8">
        <v>659004.24209472234</v>
      </c>
      <c r="L8">
        <v>871497.02852923551</v>
      </c>
      <c r="M8">
        <v>123113841.0721129</v>
      </c>
      <c r="N8">
        <v>219938.79225777631</v>
      </c>
      <c r="O8">
        <v>74774283.684030235</v>
      </c>
      <c r="P8">
        <v>7671494.7383323396</v>
      </c>
    </row>
    <row r="9" spans="1:16" x14ac:dyDescent="0.25">
      <c r="A9" s="1" t="s">
        <v>27</v>
      </c>
      <c r="B9" t="s">
        <v>19</v>
      </c>
      <c r="C9">
        <v>5771.6002080468761</v>
      </c>
      <c r="D9">
        <v>32539.28133448209</v>
      </c>
      <c r="E9">
        <v>976806.47253391542</v>
      </c>
      <c r="F9">
        <v>26112873.557909202</v>
      </c>
      <c r="G9">
        <v>421924.43555812619</v>
      </c>
      <c r="H9">
        <v>7096214.8417289583</v>
      </c>
      <c r="I9">
        <v>112378.0326645945</v>
      </c>
      <c r="J9">
        <v>3218327.9640000002</v>
      </c>
      <c r="K9">
        <v>3477312.3078591302</v>
      </c>
      <c r="L9">
        <v>0</v>
      </c>
      <c r="M9">
        <v>65611602.21713686</v>
      </c>
      <c r="N9">
        <v>254025.9914205879</v>
      </c>
      <c r="O9">
        <v>75656274.257299021</v>
      </c>
      <c r="P9">
        <v>2513889.8142535212</v>
      </c>
    </row>
    <row r="10" spans="1:16" x14ac:dyDescent="0.25">
      <c r="A10" s="1" t="s">
        <v>28</v>
      </c>
      <c r="B10" t="s">
        <v>17</v>
      </c>
      <c r="C10">
        <v>256697.51273250001</v>
      </c>
      <c r="D10">
        <v>84028.586576032088</v>
      </c>
      <c r="E10">
        <v>1701801.217884219</v>
      </c>
      <c r="F10">
        <v>50610787.955469027</v>
      </c>
      <c r="G10">
        <v>704880.23159273469</v>
      </c>
      <c r="H10">
        <v>8932007.1556493677</v>
      </c>
      <c r="I10">
        <v>1326440.922550594</v>
      </c>
      <c r="J10">
        <v>4414.7159999999994</v>
      </c>
      <c r="K10">
        <v>1828548.8428464781</v>
      </c>
      <c r="L10">
        <v>653622.7713969266</v>
      </c>
      <c r="M10">
        <v>51198766.135833427</v>
      </c>
      <c r="N10">
        <v>628192.33596012625</v>
      </c>
      <c r="O10">
        <v>116212612.88986491</v>
      </c>
      <c r="P10">
        <v>529529.84193822229</v>
      </c>
    </row>
    <row r="11" spans="1:16" x14ac:dyDescent="0.25">
      <c r="A11" s="1" t="s">
        <v>29</v>
      </c>
      <c r="B11" t="s">
        <v>17</v>
      </c>
      <c r="C11">
        <v>4082.3357505468762</v>
      </c>
      <c r="D11">
        <v>283683.52623331128</v>
      </c>
      <c r="E11">
        <v>1996711.7804804661</v>
      </c>
      <c r="F11">
        <v>84352799.064481527</v>
      </c>
      <c r="G11">
        <v>353362.63730143581</v>
      </c>
      <c r="H11">
        <v>6049953.6552485134</v>
      </c>
      <c r="I11">
        <v>75552.250290361655</v>
      </c>
      <c r="J11">
        <v>3219.799536</v>
      </c>
      <c r="K11">
        <v>7262412.6722745774</v>
      </c>
      <c r="L11">
        <v>217874.25713230891</v>
      </c>
      <c r="M11">
        <v>76414735.137424633</v>
      </c>
      <c r="N11">
        <v>1737210.684299405</v>
      </c>
      <c r="O11">
        <v>101801690.9472087</v>
      </c>
      <c r="P11">
        <v>519629.02394259669</v>
      </c>
    </row>
    <row r="12" spans="1:16" x14ac:dyDescent="0.25">
      <c r="A12" s="1" t="s">
        <v>30</v>
      </c>
      <c r="B12" t="s">
        <v>17</v>
      </c>
      <c r="C12">
        <v>4328.8362114843758</v>
      </c>
      <c r="D12">
        <v>145270.0031411559</v>
      </c>
      <c r="E12">
        <v>2181765.5213431078</v>
      </c>
      <c r="F12">
        <v>56062157.046283953</v>
      </c>
      <c r="G12">
        <v>585764.25485829078</v>
      </c>
      <c r="H12">
        <v>2484136.1760195512</v>
      </c>
      <c r="I12">
        <v>44428.524541816441</v>
      </c>
      <c r="J12">
        <v>4138.060464000001</v>
      </c>
      <c r="K12">
        <v>9333594.3484625742</v>
      </c>
      <c r="L12">
        <v>435748.51426461781</v>
      </c>
      <c r="M12">
        <v>28989844.03924489</v>
      </c>
      <c r="N12">
        <v>625488.99826499377</v>
      </c>
      <c r="O12">
        <v>55421656.271118797</v>
      </c>
      <c r="P12">
        <v>0</v>
      </c>
    </row>
    <row r="13" spans="1:16" x14ac:dyDescent="0.25">
      <c r="A13" s="1" t="s">
        <v>31</v>
      </c>
      <c r="B13" t="s">
        <v>24</v>
      </c>
      <c r="C13">
        <v>17441.0920940625</v>
      </c>
      <c r="D13">
        <v>215255.15375209469</v>
      </c>
      <c r="E13">
        <v>1630823.7651592151</v>
      </c>
      <c r="F13">
        <v>63308672.489681289</v>
      </c>
      <c r="G13">
        <v>1512271.05282868</v>
      </c>
      <c r="H13">
        <v>6567691.2525272314</v>
      </c>
      <c r="I13">
        <v>146352.78672598361</v>
      </c>
      <c r="J13">
        <v>1331772.6599999999</v>
      </c>
      <c r="K13">
        <v>8151732.1315386156</v>
      </c>
      <c r="L13">
        <v>0</v>
      </c>
      <c r="M13">
        <v>32475898.761526842</v>
      </c>
      <c r="N13">
        <v>4048995.4315085462</v>
      </c>
      <c r="O13">
        <v>64833616.449398637</v>
      </c>
      <c r="P13">
        <v>544413.85309720889</v>
      </c>
    </row>
    <row r="14" spans="1:16" x14ac:dyDescent="0.25">
      <c r="A14" s="1" t="s">
        <v>32</v>
      </c>
      <c r="B14" t="s">
        <v>24</v>
      </c>
      <c r="C14">
        <v>396.32152031250001</v>
      </c>
      <c r="D14">
        <v>4985.2389492322891</v>
      </c>
      <c r="E14">
        <v>436865.46804625442</v>
      </c>
      <c r="F14">
        <v>15213324.818234211</v>
      </c>
      <c r="G14">
        <v>248637.99604606041</v>
      </c>
      <c r="H14">
        <v>1216887.046195583</v>
      </c>
      <c r="I14">
        <v>23520.983580961649</v>
      </c>
      <c r="J14">
        <v>0</v>
      </c>
      <c r="K14">
        <v>4672540.5340157179</v>
      </c>
      <c r="L14">
        <v>0</v>
      </c>
      <c r="M14">
        <v>5525214.898877589</v>
      </c>
      <c r="N14">
        <v>865315.26951082982</v>
      </c>
      <c r="O14">
        <v>19467140.001153521</v>
      </c>
      <c r="P14">
        <v>0</v>
      </c>
    </row>
    <row r="15" spans="1:16" x14ac:dyDescent="0.25">
      <c r="A15" s="1" t="s">
        <v>33</v>
      </c>
      <c r="B15" t="s">
        <v>24</v>
      </c>
      <c r="C15">
        <v>111.885598828125</v>
      </c>
      <c r="D15">
        <v>6709.0440586383011</v>
      </c>
      <c r="E15">
        <v>421645.24994598818</v>
      </c>
      <c r="F15">
        <v>5404201.8374243723</v>
      </c>
      <c r="G15">
        <v>139559.05328676169</v>
      </c>
      <c r="H15">
        <v>16194.356968358879</v>
      </c>
      <c r="I15">
        <v>4751.7138547397262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A16" s="1" t="s">
        <v>34</v>
      </c>
      <c r="B16" t="s">
        <v>21</v>
      </c>
      <c r="C16">
        <v>359.02632070312512</v>
      </c>
      <c r="D16">
        <v>30004.380665896118</v>
      </c>
      <c r="E16">
        <v>342228.86441291613</v>
      </c>
      <c r="F16">
        <v>4999760.9226405658</v>
      </c>
      <c r="G16">
        <v>44797.644286126051</v>
      </c>
      <c r="H16">
        <v>47067.320137109869</v>
      </c>
      <c r="I16">
        <v>4751.7138547397262</v>
      </c>
      <c r="J16">
        <v>10419465.546</v>
      </c>
      <c r="K16">
        <v>11660365.93379388</v>
      </c>
      <c r="L16">
        <v>217874.25713230891</v>
      </c>
      <c r="M16">
        <v>25895515.883371361</v>
      </c>
      <c r="N16">
        <v>150171.22658926219</v>
      </c>
      <c r="O16">
        <v>9733570.0005767606</v>
      </c>
      <c r="P16">
        <v>2170049.485981599</v>
      </c>
    </row>
    <row r="17" spans="1:16" x14ac:dyDescent="0.25">
      <c r="A17" s="1" t="s">
        <v>35</v>
      </c>
      <c r="B17" t="s">
        <v>17</v>
      </c>
      <c r="C17">
        <v>235.45595976562501</v>
      </c>
      <c r="D17">
        <v>40577.119131472296</v>
      </c>
      <c r="E17">
        <v>318569.71350458148</v>
      </c>
      <c r="F17">
        <v>2790322.3617560458</v>
      </c>
      <c r="G17">
        <v>45019.049447342477</v>
      </c>
      <c r="H17">
        <v>47375.356612932119</v>
      </c>
      <c r="I17">
        <v>2375.8569273698631</v>
      </c>
      <c r="J17">
        <v>2970075.5334863998</v>
      </c>
      <c r="K17">
        <v>3197005.3546280498</v>
      </c>
      <c r="L17">
        <v>217874.25713230891</v>
      </c>
      <c r="M17">
        <v>10025394.63127793</v>
      </c>
      <c r="N17">
        <v>68804.828723627346</v>
      </c>
      <c r="O17">
        <v>14146568.414480301</v>
      </c>
      <c r="P17">
        <v>1122792.10170259</v>
      </c>
    </row>
    <row r="18" spans="1:16" x14ac:dyDescent="0.25">
      <c r="A18" s="1" t="s">
        <v>36</v>
      </c>
      <c r="B18" t="s">
        <v>17</v>
      </c>
      <c r="C18">
        <v>359.02632070312512</v>
      </c>
      <c r="D18">
        <v>2425.1040353428202</v>
      </c>
      <c r="E18">
        <v>212932.35817501121</v>
      </c>
      <c r="F18">
        <v>225344.12958256769</v>
      </c>
      <c r="G18">
        <v>236829.72078118371</v>
      </c>
      <c r="H18">
        <v>88242.405721350369</v>
      </c>
      <c r="I18">
        <v>5702.0566256876709</v>
      </c>
      <c r="J18">
        <v>6728027.1840000004</v>
      </c>
      <c r="K18">
        <v>3318199.116326754</v>
      </c>
      <c r="L18">
        <v>435748.51426461781</v>
      </c>
      <c r="M18">
        <v>368347.65992517251</v>
      </c>
      <c r="N18">
        <v>0</v>
      </c>
      <c r="O18">
        <v>0</v>
      </c>
      <c r="P18">
        <v>544413.85309720889</v>
      </c>
    </row>
    <row r="19" spans="1:16" x14ac:dyDescent="0.25">
      <c r="A19" s="1" t="s">
        <v>37</v>
      </c>
      <c r="B19" t="s">
        <v>24</v>
      </c>
      <c r="C19">
        <v>0</v>
      </c>
      <c r="D19">
        <v>27455.726263089149</v>
      </c>
      <c r="E19">
        <v>114076.28813763869</v>
      </c>
      <c r="F19">
        <v>94861.877633555967</v>
      </c>
      <c r="G19">
        <v>66421.548364931543</v>
      </c>
      <c r="H19">
        <v>0</v>
      </c>
      <c r="I19">
        <v>4751.7138547397262</v>
      </c>
      <c r="J19">
        <v>824816.10600000003</v>
      </c>
      <c r="K19">
        <v>296301.33698745602</v>
      </c>
      <c r="L19">
        <v>0</v>
      </c>
      <c r="M19">
        <v>0</v>
      </c>
      <c r="N19">
        <v>100114.15105950821</v>
      </c>
      <c r="O19">
        <v>0</v>
      </c>
      <c r="P19">
        <v>0</v>
      </c>
    </row>
    <row r="20" spans="1:16" x14ac:dyDescent="0.25">
      <c r="A20" s="1" t="s">
        <v>38</v>
      </c>
      <c r="B20" t="s">
        <v>21</v>
      </c>
      <c r="C20">
        <v>0</v>
      </c>
      <c r="D20">
        <v>465.43444358196831</v>
      </c>
      <c r="E20">
        <v>114076.28813763869</v>
      </c>
      <c r="F20">
        <v>366514.7700153687</v>
      </c>
      <c r="G20">
        <v>69595.022342367156</v>
      </c>
      <c r="H20">
        <v>16194.356968358879</v>
      </c>
      <c r="I20">
        <v>4751.7138547397262</v>
      </c>
      <c r="J20">
        <v>3114582.1379999998</v>
      </c>
      <c r="K20">
        <v>1822284.543967251</v>
      </c>
      <c r="L20">
        <v>0</v>
      </c>
      <c r="M20">
        <v>4263273.4800366219</v>
      </c>
      <c r="N20">
        <v>49762.435204475958</v>
      </c>
      <c r="O20">
        <v>0</v>
      </c>
      <c r="P20">
        <v>544413.85309720889</v>
      </c>
    </row>
    <row r="21" spans="1:16" x14ac:dyDescent="0.25">
      <c r="A21" s="1" t="s">
        <v>39</v>
      </c>
      <c r="B21" t="s">
        <v>21</v>
      </c>
      <c r="C21">
        <v>858.65394328125012</v>
      </c>
      <c r="D21">
        <v>2272591.590431971</v>
      </c>
      <c r="E21">
        <v>688677.19522986631</v>
      </c>
      <c r="F21">
        <v>23680944.461253282</v>
      </c>
      <c r="G21">
        <v>189670.4214420823</v>
      </c>
      <c r="H21">
        <v>3060009.3888893421</v>
      </c>
      <c r="I21">
        <v>42765.424692657543</v>
      </c>
      <c r="J21">
        <v>1495117.152</v>
      </c>
      <c r="K21">
        <v>1197107.5158203561</v>
      </c>
      <c r="L21">
        <v>435748.51426461781</v>
      </c>
      <c r="M21">
        <v>116913235.5414966</v>
      </c>
      <c r="N21">
        <v>406719.66457844782</v>
      </c>
      <c r="O21">
        <v>143138907.97406361</v>
      </c>
      <c r="P21">
        <v>11722240.6651651</v>
      </c>
    </row>
    <row r="22" spans="1:16" x14ac:dyDescent="0.25">
      <c r="A22" s="1" t="s">
        <v>40</v>
      </c>
      <c r="B22" t="s">
        <v>40</v>
      </c>
      <c r="C22">
        <v>2387032.9601322659</v>
      </c>
      <c r="D22">
        <v>31428822.400482289</v>
      </c>
      <c r="E22">
        <v>29370047.990966141</v>
      </c>
      <c r="F22">
        <v>747062238.41062796</v>
      </c>
      <c r="G22">
        <v>11546500.56259848</v>
      </c>
      <c r="H22">
        <v>75177121.700515926</v>
      </c>
      <c r="I22">
        <v>3233066.1067649089</v>
      </c>
      <c r="J22">
        <v>0</v>
      </c>
      <c r="K22">
        <v>0</v>
      </c>
      <c r="L22">
        <v>11983084.142276989</v>
      </c>
      <c r="M22">
        <v>1235069703.7291031</v>
      </c>
      <c r="N22">
        <v>17122794.523750529</v>
      </c>
      <c r="O22">
        <v>1479502640.087667</v>
      </c>
      <c r="P22">
        <v>76217939.433609232</v>
      </c>
    </row>
    <row r="23" spans="1:16" x14ac:dyDescent="0.25">
      <c r="A23" s="1" t="s">
        <v>41</v>
      </c>
      <c r="B23" t="s">
        <v>19</v>
      </c>
      <c r="C23">
        <v>693119.76004335959</v>
      </c>
      <c r="D23">
        <v>2286518.4237929191</v>
      </c>
      <c r="E23">
        <v>890608.80170864554</v>
      </c>
      <c r="F23">
        <v>27339259.006837439</v>
      </c>
      <c r="G23">
        <v>1053002.946745381</v>
      </c>
      <c r="H23">
        <v>3520950.3296496319</v>
      </c>
      <c r="I23">
        <v>69375.022279199999</v>
      </c>
      <c r="J23">
        <v>815986.674</v>
      </c>
      <c r="K23">
        <v>4715137.7663944643</v>
      </c>
      <c r="L23">
        <v>4793233.6569107957</v>
      </c>
      <c r="M23">
        <v>129836055.98293351</v>
      </c>
      <c r="N23">
        <v>306115.93953424261</v>
      </c>
      <c r="O23">
        <v>115382396.62510981</v>
      </c>
      <c r="P23">
        <v>10534732.62066992</v>
      </c>
    </row>
    <row r="24" spans="1:16" x14ac:dyDescent="0.25">
      <c r="A24" s="1" t="s">
        <v>42</v>
      </c>
      <c r="B24" t="s">
        <v>24</v>
      </c>
      <c r="C24">
        <v>5268.2910850781254</v>
      </c>
      <c r="D24">
        <v>2552571.6867683232</v>
      </c>
      <c r="E24">
        <v>2474114.2650511921</v>
      </c>
      <c r="F24">
        <v>75805123.181791425</v>
      </c>
      <c r="G24">
        <v>1273817.694198576</v>
      </c>
      <c r="H24">
        <v>1046009.821655639</v>
      </c>
      <c r="I24">
        <v>333095.14121725492</v>
      </c>
      <c r="J24">
        <v>4266087.2280000001</v>
      </c>
      <c r="K24">
        <v>4217752.4353838079</v>
      </c>
      <c r="L24">
        <v>871497.02852923551</v>
      </c>
      <c r="M24">
        <v>60317578.726815961</v>
      </c>
      <c r="N24">
        <v>995190.39980487595</v>
      </c>
      <c r="O24">
        <v>70406968.483521134</v>
      </c>
      <c r="P24">
        <v>544413.85309720889</v>
      </c>
    </row>
    <row r="25" spans="1:16" x14ac:dyDescent="0.25">
      <c r="A25" s="1" t="s">
        <v>43</v>
      </c>
      <c r="B25" t="s">
        <v>21</v>
      </c>
      <c r="C25">
        <v>17399.347080937499</v>
      </c>
      <c r="D25">
        <v>8256676.1153930239</v>
      </c>
      <c r="E25">
        <v>1854756.875030458</v>
      </c>
      <c r="F25">
        <v>32604217.29471983</v>
      </c>
      <c r="G25">
        <v>318085.41494761658</v>
      </c>
      <c r="H25">
        <v>8924528.9204552677</v>
      </c>
      <c r="I25">
        <v>41102.324843498638</v>
      </c>
      <c r="J25">
        <v>0</v>
      </c>
      <c r="K25">
        <v>5605294.6371326782</v>
      </c>
      <c r="L25">
        <v>217874.25713230891</v>
      </c>
      <c r="M25">
        <v>116847774.6033435</v>
      </c>
      <c r="N25">
        <v>1096123.2381537</v>
      </c>
      <c r="O25">
        <v>104223510.36662631</v>
      </c>
      <c r="P25">
        <v>8878476.5771632977</v>
      </c>
    </row>
    <row r="27" spans="1:16" x14ac:dyDescent="0.25">
      <c r="A27" s="2" t="s">
        <v>77</v>
      </c>
      <c r="C27">
        <f>C3+C8+C9+C23</f>
        <v>975536.07443953166</v>
      </c>
      <c r="D27">
        <f t="shared" ref="D27:P27" si="0">D3+D8+D9+D23</f>
        <v>2807057.1209903136</v>
      </c>
      <c r="E27">
        <f t="shared" si="0"/>
        <v>5440851.2327733738</v>
      </c>
      <c r="F27">
        <f t="shared" si="0"/>
        <v>115338006.88413323</v>
      </c>
      <c r="G27">
        <f t="shared" si="0"/>
        <v>2894651.0777437165</v>
      </c>
      <c r="H27">
        <f t="shared" si="0"/>
        <v>17933945.268855423</v>
      </c>
      <c r="I27">
        <f t="shared" si="0"/>
        <v>327155.49889883015</v>
      </c>
      <c r="J27">
        <f t="shared" si="0"/>
        <v>11850569.316000002</v>
      </c>
      <c r="K27">
        <f t="shared" si="0"/>
        <v>16622943.505917829</v>
      </c>
      <c r="L27">
        <f t="shared" si="0"/>
        <v>6318353.4568369575</v>
      </c>
      <c r="M27">
        <f t="shared" si="0"/>
        <v>404969937.63431966</v>
      </c>
      <c r="N27">
        <f t="shared" si="0"/>
        <v>1087681.6140129031</v>
      </c>
      <c r="O27">
        <f t="shared" si="0"/>
        <v>336926490.0837943</v>
      </c>
      <c r="P27">
        <f t="shared" si="0"/>
        <v>23910672.164428871</v>
      </c>
    </row>
    <row r="28" spans="1:16" x14ac:dyDescent="0.25">
      <c r="A28" s="2" t="s">
        <v>21</v>
      </c>
      <c r="C28">
        <f>C4+C7+C16+C20+C21+C25</f>
        <v>159919.92715523436</v>
      </c>
      <c r="D28">
        <f t="shared" ref="D28:P28" si="1">D4+D7+D16+D20+D21+D25</f>
        <v>24247431.763307415</v>
      </c>
      <c r="E28">
        <f t="shared" si="1"/>
        <v>7864331.9009761568</v>
      </c>
      <c r="F28">
        <f t="shared" si="1"/>
        <v>121803005.6088354</v>
      </c>
      <c r="G28">
        <f t="shared" si="1"/>
        <v>2034418.2246974476</v>
      </c>
      <c r="H28">
        <f t="shared" si="1"/>
        <v>19910033.697473653</v>
      </c>
      <c r="I28">
        <f t="shared" si="1"/>
        <v>243050.16366993703</v>
      </c>
      <c r="J28">
        <f t="shared" si="1"/>
        <v>22056656.921999998</v>
      </c>
      <c r="K28">
        <f t="shared" si="1"/>
        <v>26888876.509195689</v>
      </c>
      <c r="L28">
        <f t="shared" si="1"/>
        <v>2396616.8284553983</v>
      </c>
      <c r="M28">
        <f t="shared" si="1"/>
        <v>386673605.4205187</v>
      </c>
      <c r="N28">
        <f t="shared" si="1"/>
        <v>3248902.3685704321</v>
      </c>
      <c r="O28">
        <f t="shared" si="1"/>
        <v>407832319.25758272</v>
      </c>
      <c r="P28">
        <f t="shared" si="1"/>
        <v>34748461.611428455</v>
      </c>
    </row>
    <row r="29" spans="1:16" x14ac:dyDescent="0.25">
      <c r="A29" s="2" t="s">
        <v>17</v>
      </c>
      <c r="C29">
        <f>C2+C5+C10+C11+C12+C17+C18</f>
        <v>927801.99647906248</v>
      </c>
      <c r="D29">
        <f t="shared" ref="D29:P29" si="2">D2+D5+D10+D11+D12+D17+D18</f>
        <v>1561333.3135112466</v>
      </c>
      <c r="E29">
        <f t="shared" si="2"/>
        <v>9834822.7116601244</v>
      </c>
      <c r="F29">
        <f t="shared" si="2"/>
        <v>302078200.36134154</v>
      </c>
      <c r="G29">
        <f t="shared" si="2"/>
        <v>2290067.3841820285</v>
      </c>
      <c r="H29">
        <f t="shared" si="2"/>
        <v>26104194.953221198</v>
      </c>
      <c r="I29">
        <f t="shared" si="2"/>
        <v>2046325.5715436626</v>
      </c>
      <c r="J29">
        <f t="shared" si="2"/>
        <v>16739867.286000002</v>
      </c>
      <c r="K29">
        <f t="shared" si="2"/>
        <v>33181364.733379614</v>
      </c>
      <c r="L29">
        <f t="shared" si="2"/>
        <v>2178742.5713230893</v>
      </c>
      <c r="M29">
        <f t="shared" si="2"/>
        <v>318460190.67742246</v>
      </c>
      <c r="N29">
        <f t="shared" si="2"/>
        <v>4702824.6075350028</v>
      </c>
      <c r="O29">
        <f t="shared" si="2"/>
        <v>514734084.14814764</v>
      </c>
      <c r="P29">
        <f t="shared" si="2"/>
        <v>16595475.737276856</v>
      </c>
    </row>
    <row r="30" spans="1:16" x14ac:dyDescent="0.25">
      <c r="A30" s="2" t="s">
        <v>24</v>
      </c>
      <c r="C30">
        <f>C6+C13+C14+C15+C19+C24</f>
        <v>23589.741968203125</v>
      </c>
      <c r="D30">
        <f t="shared" ref="D30:P30" si="3">D6+D13+D14+D15+D19+D24</f>
        <v>2813000.2026733165</v>
      </c>
      <c r="E30">
        <f t="shared" si="3"/>
        <v>6239385.2497368464</v>
      </c>
      <c r="F30">
        <f t="shared" si="3"/>
        <v>209045304.77538642</v>
      </c>
      <c r="G30">
        <f t="shared" si="3"/>
        <v>4327363.8759752894</v>
      </c>
      <c r="H30">
        <f t="shared" si="3"/>
        <v>11228628.523495985</v>
      </c>
      <c r="I30">
        <f t="shared" si="3"/>
        <v>616534.87265247968</v>
      </c>
      <c r="J30">
        <f t="shared" si="3"/>
        <v>8786756.4120000005</v>
      </c>
      <c r="K30">
        <f t="shared" si="3"/>
        <v>18144541.703682162</v>
      </c>
      <c r="L30">
        <f t="shared" si="3"/>
        <v>1089371.2856615444</v>
      </c>
      <c r="M30">
        <f t="shared" si="3"/>
        <v>125877227.81843445</v>
      </c>
      <c r="N30">
        <f t="shared" si="3"/>
        <v>8382890.1859471425</v>
      </c>
      <c r="O30">
        <f t="shared" si="3"/>
        <v>225637309.37882689</v>
      </c>
      <c r="P30">
        <f t="shared" si="3"/>
        <v>1088827.7061944178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workbookViewId="0">
      <selection activeCell="A27" sqref="A27:A30"/>
    </sheetView>
  </sheetViews>
  <sheetFormatPr baseColWidth="10" defaultColWidth="9.140625" defaultRowHeight="15" x14ac:dyDescent="0.25"/>
  <cols>
    <col min="1" max="1" width="21.5703125" customWidth="1"/>
    <col min="2" max="2" width="31.85546875" customWidth="1"/>
    <col min="4" max="5" width="17.140625" customWidth="1"/>
    <col min="6" max="6" width="15.85546875" customWidth="1"/>
    <col min="10" max="10" width="15.5703125" customWidth="1"/>
    <col min="11" max="11" width="40.28515625" customWidth="1"/>
  </cols>
  <sheetData>
    <row r="1" spans="1:15" x14ac:dyDescent="0.25">
      <c r="A1" s="1" t="s">
        <v>0</v>
      </c>
      <c r="B1" s="1" t="s">
        <v>1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1" t="s">
        <v>53</v>
      </c>
      <c r="M1" s="1" t="s">
        <v>54</v>
      </c>
      <c r="N1" s="1" t="s">
        <v>55</v>
      </c>
      <c r="O1" s="1" t="s">
        <v>56</v>
      </c>
    </row>
    <row r="2" spans="1:15" x14ac:dyDescent="0.25">
      <c r="A2" s="1" t="s">
        <v>16</v>
      </c>
      <c r="B2" t="s">
        <v>17</v>
      </c>
      <c r="C2">
        <v>3656183.8343624999</v>
      </c>
      <c r="D2">
        <v>958414.03218750004</v>
      </c>
      <c r="E2">
        <v>19084833.721193328</v>
      </c>
      <c r="F2">
        <v>2875415.3960000002</v>
      </c>
      <c r="G2">
        <v>826070.26347999973</v>
      </c>
      <c r="H2">
        <v>78243294.584279999</v>
      </c>
      <c r="I2">
        <v>32085232.10479999</v>
      </c>
      <c r="J2">
        <v>2195197.9752956191</v>
      </c>
      <c r="K2">
        <v>4224064.8721372308</v>
      </c>
      <c r="L2">
        <v>6888954.0613711663</v>
      </c>
      <c r="M2">
        <v>5641510.8384738322</v>
      </c>
      <c r="N2">
        <v>19133895.11864043</v>
      </c>
      <c r="O2">
        <v>0</v>
      </c>
    </row>
    <row r="3" spans="1:15" x14ac:dyDescent="0.25">
      <c r="A3" s="1" t="s">
        <v>18</v>
      </c>
      <c r="B3" t="s">
        <v>19</v>
      </c>
      <c r="C3">
        <v>6166576.8173625004</v>
      </c>
      <c r="D3">
        <v>3011086.8680812502</v>
      </c>
      <c r="E3">
        <v>28617639.60664</v>
      </c>
      <c r="F3">
        <v>1827352.7608</v>
      </c>
      <c r="G3">
        <v>2882134.8530974998</v>
      </c>
      <c r="H3">
        <v>77669197.633440003</v>
      </c>
      <c r="I3">
        <v>42400857.203599989</v>
      </c>
      <c r="J3">
        <v>10671979.91031884</v>
      </c>
      <c r="K3">
        <v>20535339.392002411</v>
      </c>
      <c r="L3">
        <v>33490728.477991588</v>
      </c>
      <c r="M3">
        <v>27426269.069845971</v>
      </c>
      <c r="N3">
        <v>93019648.619519159</v>
      </c>
      <c r="O3">
        <v>0</v>
      </c>
    </row>
    <row r="4" spans="1:15" x14ac:dyDescent="0.25">
      <c r="A4" s="1" t="s">
        <v>20</v>
      </c>
      <c r="B4" t="s">
        <v>21</v>
      </c>
      <c r="C4">
        <v>1732680.0217124999</v>
      </c>
      <c r="D4">
        <v>4503712.5477750003</v>
      </c>
      <c r="E4">
        <v>14441451.26039</v>
      </c>
      <c r="F4">
        <v>9470852.5379999969</v>
      </c>
      <c r="G4">
        <v>2232211.9252125002</v>
      </c>
      <c r="H4">
        <v>78170439.641279981</v>
      </c>
      <c r="I4">
        <v>28639355.631949998</v>
      </c>
      <c r="J4">
        <v>9203945.6575475</v>
      </c>
      <c r="K4">
        <v>17710504.46230064</v>
      </c>
      <c r="L4">
        <v>28883754.236181252</v>
      </c>
      <c r="M4">
        <v>23653519.98686403</v>
      </c>
      <c r="N4">
        <v>80223894.551225662</v>
      </c>
      <c r="O4">
        <v>5905660.444444445</v>
      </c>
    </row>
    <row r="5" spans="1:15" x14ac:dyDescent="0.25">
      <c r="A5" s="1" t="s">
        <v>22</v>
      </c>
      <c r="B5" t="s">
        <v>17</v>
      </c>
      <c r="C5">
        <v>2555342.5870874999</v>
      </c>
      <c r="D5">
        <v>7019757.7331437487</v>
      </c>
      <c r="E5">
        <v>24845011.49442666</v>
      </c>
      <c r="F5">
        <v>4958026.9648000002</v>
      </c>
      <c r="G5">
        <v>2674604.9462183341</v>
      </c>
      <c r="H5">
        <v>65280214.576290011</v>
      </c>
      <c r="I5">
        <v>37245978.563500002</v>
      </c>
      <c r="J5">
        <v>7648047.2527070092</v>
      </c>
      <c r="K5">
        <v>14716598.732401259</v>
      </c>
      <c r="L5">
        <v>24001045.361751191</v>
      </c>
      <c r="M5">
        <v>19654965.955175959</v>
      </c>
      <c r="N5">
        <v>66662294.536781043</v>
      </c>
      <c r="O5">
        <v>6004999.5030666683</v>
      </c>
    </row>
    <row r="6" spans="1:15" x14ac:dyDescent="0.25">
      <c r="A6" s="1" t="s">
        <v>23</v>
      </c>
      <c r="B6" t="s">
        <v>24</v>
      </c>
      <c r="C6">
        <v>2716482.6772125</v>
      </c>
      <c r="D6">
        <v>5869660.8945187498</v>
      </c>
      <c r="E6">
        <v>6375280.1828333326</v>
      </c>
      <c r="F6">
        <v>3213257.9360000002</v>
      </c>
      <c r="G6">
        <v>476812.61531750002</v>
      </c>
      <c r="H6">
        <v>23598444.587129999</v>
      </c>
      <c r="I6">
        <v>7375847.9802000001</v>
      </c>
      <c r="J6">
        <v>15388176.13678248</v>
      </c>
      <c r="K6">
        <v>29610383.663409632</v>
      </c>
      <c r="L6">
        <v>48291060.61848785</v>
      </c>
      <c r="M6">
        <v>39546575.496595949</v>
      </c>
      <c r="N6">
        <v>134127195.62512849</v>
      </c>
      <c r="O6">
        <v>2729975.111111111</v>
      </c>
    </row>
    <row r="7" spans="1:15" x14ac:dyDescent="0.25">
      <c r="A7" s="1" t="s">
        <v>25</v>
      </c>
      <c r="B7" t="s">
        <v>21</v>
      </c>
      <c r="C7">
        <v>3393271.0557375001</v>
      </c>
      <c r="D7">
        <v>1897659.7837312501</v>
      </c>
      <c r="E7">
        <v>7388276.9636433348</v>
      </c>
      <c r="F7">
        <v>8762133.9652000014</v>
      </c>
      <c r="G7">
        <v>0</v>
      </c>
      <c r="H7">
        <v>37292988.222840004</v>
      </c>
      <c r="I7">
        <v>12296013.8763</v>
      </c>
      <c r="J7">
        <v>11868338.204892371</v>
      </c>
      <c r="K7">
        <v>22837407.407493141</v>
      </c>
      <c r="L7">
        <v>37245131.235741742</v>
      </c>
      <c r="M7">
        <v>30500829.251428571</v>
      </c>
      <c r="N7">
        <v>103447407.02231321</v>
      </c>
      <c r="O7">
        <v>0</v>
      </c>
    </row>
    <row r="8" spans="1:15" x14ac:dyDescent="0.25">
      <c r="A8" s="1" t="s">
        <v>26</v>
      </c>
      <c r="B8" t="s">
        <v>19</v>
      </c>
      <c r="C8">
        <v>4003059.0809999998</v>
      </c>
      <c r="D8">
        <v>3826155.49719375</v>
      </c>
      <c r="E8">
        <v>30890955.595453329</v>
      </c>
      <c r="F8">
        <v>12425848.621200001</v>
      </c>
      <c r="G8">
        <v>826070.26347999973</v>
      </c>
      <c r="H8">
        <v>118318613.08029</v>
      </c>
      <c r="I8">
        <v>53133097.422999993</v>
      </c>
      <c r="J8">
        <v>8674652.0054829456</v>
      </c>
      <c r="K8">
        <v>16692021.961910211</v>
      </c>
      <c r="L8">
        <v>27222728.809280042</v>
      </c>
      <c r="M8">
        <v>22293270.975858331</v>
      </c>
      <c r="N8">
        <v>75610438.571611106</v>
      </c>
      <c r="O8">
        <v>0</v>
      </c>
    </row>
    <row r="9" spans="1:15" x14ac:dyDescent="0.25">
      <c r="A9" s="1" t="s">
        <v>27</v>
      </c>
      <c r="B9" t="s">
        <v>19</v>
      </c>
      <c r="C9">
        <v>7639736.4833999984</v>
      </c>
      <c r="D9">
        <v>2995252.2014624998</v>
      </c>
      <c r="E9">
        <v>23336088.395876661</v>
      </c>
      <c r="F9">
        <v>870132.23080000002</v>
      </c>
      <c r="G9">
        <v>760268.09788416652</v>
      </c>
      <c r="H9">
        <v>60894347.007689998</v>
      </c>
      <c r="I9">
        <v>30822184.151149999</v>
      </c>
      <c r="J9">
        <v>7580567.5839179028</v>
      </c>
      <c r="K9">
        <v>14586752.35784949</v>
      </c>
      <c r="L9">
        <v>23789281.163899239</v>
      </c>
      <c r="M9">
        <v>19481547.754569661</v>
      </c>
      <c r="N9">
        <v>66074124.850136951</v>
      </c>
      <c r="O9">
        <v>0</v>
      </c>
    </row>
    <row r="10" spans="1:15" x14ac:dyDescent="0.25">
      <c r="A10" s="1" t="s">
        <v>28</v>
      </c>
      <c r="B10" t="s">
        <v>17</v>
      </c>
      <c r="C10">
        <v>3428891.4967125002</v>
      </c>
      <c r="D10">
        <v>2576883.6413250002</v>
      </c>
      <c r="E10">
        <v>18385154.730273329</v>
      </c>
      <c r="F10">
        <v>1178695.084</v>
      </c>
      <c r="G10">
        <v>869600.92687416659</v>
      </c>
      <c r="H10">
        <v>48968721.388020001</v>
      </c>
      <c r="I10">
        <v>23217491.245549999</v>
      </c>
      <c r="J10">
        <v>10750706.1905728</v>
      </c>
      <c r="K10">
        <v>20686826.82897947</v>
      </c>
      <c r="L10">
        <v>33737786.708818853</v>
      </c>
      <c r="M10">
        <v>27628590.303886648</v>
      </c>
      <c r="N10">
        <v>93705846.587270573</v>
      </c>
      <c r="O10">
        <v>0</v>
      </c>
    </row>
    <row r="11" spans="1:15" x14ac:dyDescent="0.25">
      <c r="A11" s="1" t="s">
        <v>29</v>
      </c>
      <c r="B11" t="s">
        <v>17</v>
      </c>
      <c r="C11">
        <v>7269962.3818499995</v>
      </c>
      <c r="D11">
        <v>3182767.9903687499</v>
      </c>
      <c r="E11">
        <v>23604554.96839999</v>
      </c>
      <c r="F11">
        <v>20527312.7304</v>
      </c>
      <c r="G11">
        <v>2480235.4724583328</v>
      </c>
      <c r="H11">
        <v>59311209.096299991</v>
      </c>
      <c r="I11">
        <v>39930505.572999999</v>
      </c>
      <c r="J11">
        <v>16492101.34337927</v>
      </c>
      <c r="K11">
        <v>31734589.19709247</v>
      </c>
      <c r="L11">
        <v>51755390.542722046</v>
      </c>
      <c r="M11">
        <v>42383588.872139707</v>
      </c>
      <c r="N11">
        <v>143749284.09257159</v>
      </c>
      <c r="O11">
        <v>0</v>
      </c>
    </row>
    <row r="12" spans="1:15" x14ac:dyDescent="0.25">
      <c r="A12" s="1" t="s">
        <v>30</v>
      </c>
      <c r="B12" t="s">
        <v>17</v>
      </c>
      <c r="C12">
        <v>2869989.8157000002</v>
      </c>
      <c r="D12">
        <v>3286943.4286500001</v>
      </c>
      <c r="E12">
        <v>9834590.505156666</v>
      </c>
      <c r="F12">
        <v>4021827.748399999</v>
      </c>
      <c r="G12">
        <v>981970.77889166679</v>
      </c>
      <c r="H12">
        <v>20344742.83275</v>
      </c>
      <c r="I12">
        <v>13853919.714600001</v>
      </c>
      <c r="J12">
        <v>19178284.2004373</v>
      </c>
      <c r="K12">
        <v>36903421.700733967</v>
      </c>
      <c r="L12">
        <v>60185149.731172226</v>
      </c>
      <c r="M12">
        <v>49286897.763983347</v>
      </c>
      <c r="N12">
        <v>167162726.35830459</v>
      </c>
      <c r="O12">
        <v>0</v>
      </c>
    </row>
    <row r="13" spans="1:15" x14ac:dyDescent="0.25">
      <c r="A13" s="1" t="s">
        <v>31</v>
      </c>
      <c r="B13" t="s">
        <v>24</v>
      </c>
      <c r="C13">
        <v>1658046.7168125</v>
      </c>
      <c r="D13">
        <v>4924581.3184312508</v>
      </c>
      <c r="E13">
        <v>7593311.1001766659</v>
      </c>
      <c r="F13">
        <v>3737289.2535999999</v>
      </c>
      <c r="G13">
        <v>1561029.836135</v>
      </c>
      <c r="H13">
        <v>27100581.697140001</v>
      </c>
      <c r="I13">
        <v>13617740.01595</v>
      </c>
      <c r="J13">
        <v>21313031.63910934</v>
      </c>
      <c r="K13">
        <v>41011165.862335257</v>
      </c>
      <c r="L13">
        <v>66884398.365301028</v>
      </c>
      <c r="M13">
        <v>54773054.797747374</v>
      </c>
      <c r="N13">
        <v>185769719.46599299</v>
      </c>
      <c r="O13">
        <v>0</v>
      </c>
    </row>
    <row r="14" spans="1:15" x14ac:dyDescent="0.25">
      <c r="A14" s="1" t="s">
        <v>32</v>
      </c>
      <c r="B14" t="s">
        <v>24</v>
      </c>
      <c r="C14">
        <v>0</v>
      </c>
      <c r="D14">
        <v>1507626.94280625</v>
      </c>
      <c r="E14">
        <v>860502.64176333323</v>
      </c>
      <c r="F14">
        <v>0</v>
      </c>
      <c r="G14">
        <v>826070.26347999973</v>
      </c>
      <c r="H14">
        <v>3467166.7373699988</v>
      </c>
      <c r="I14">
        <v>2325123.1202500002</v>
      </c>
      <c r="J14">
        <v>10067826.000691369</v>
      </c>
      <c r="K14">
        <v>19372808.569843601</v>
      </c>
      <c r="L14">
        <v>31594777.144098371</v>
      </c>
      <c r="M14">
        <v>25873634.242542651</v>
      </c>
      <c r="N14">
        <v>87753691.893783808</v>
      </c>
      <c r="O14">
        <v>2482745.222222222</v>
      </c>
    </row>
    <row r="15" spans="1:15" x14ac:dyDescent="0.25">
      <c r="A15" s="1" t="s">
        <v>33</v>
      </c>
      <c r="B15" t="s">
        <v>24</v>
      </c>
      <c r="C15">
        <v>253583.61551249999</v>
      </c>
      <c r="D15">
        <v>0</v>
      </c>
      <c r="E15">
        <v>2189380.1391699989</v>
      </c>
      <c r="F15">
        <v>0</v>
      </c>
      <c r="G15">
        <v>825057.92247083341</v>
      </c>
      <c r="H15">
        <v>9345832.0880400017</v>
      </c>
      <c r="I15">
        <v>3862491.5934499982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5">
      <c r="A16" s="1" t="s">
        <v>34</v>
      </c>
      <c r="B16" t="s">
        <v>21</v>
      </c>
      <c r="C16">
        <v>1877706.102825</v>
      </c>
      <c r="D16">
        <v>869239.85701874993</v>
      </c>
      <c r="E16">
        <v>5002832.9314133329</v>
      </c>
      <c r="F16">
        <v>4527090.0360000003</v>
      </c>
      <c r="G16">
        <v>0</v>
      </c>
      <c r="H16">
        <v>25402332.975809999</v>
      </c>
      <c r="I16">
        <v>8429121.4188999981</v>
      </c>
      <c r="J16">
        <v>733138.48486497952</v>
      </c>
      <c r="K16">
        <v>1410726.7568489059</v>
      </c>
      <c r="L16">
        <v>2300729.7745789709</v>
      </c>
      <c r="M16">
        <v>1884116.4920039091</v>
      </c>
      <c r="N16">
        <v>6390218.5746852271</v>
      </c>
      <c r="O16">
        <v>0</v>
      </c>
    </row>
    <row r="17" spans="1:16" x14ac:dyDescent="0.25">
      <c r="A17" s="1" t="s">
        <v>35</v>
      </c>
      <c r="B17" t="s">
        <v>17</v>
      </c>
      <c r="C17">
        <v>252735.5097749999</v>
      </c>
      <c r="D17">
        <v>0</v>
      </c>
      <c r="E17">
        <v>3160729.3609966659</v>
      </c>
      <c r="F17">
        <v>0</v>
      </c>
      <c r="G17">
        <v>0</v>
      </c>
      <c r="H17">
        <v>9200122.2020399999</v>
      </c>
      <c r="I17">
        <v>5043390.086699998</v>
      </c>
      <c r="J17">
        <v>958773.62737855408</v>
      </c>
      <c r="K17">
        <v>1844900.5717563829</v>
      </c>
      <c r="L17">
        <v>3008816.311146419</v>
      </c>
      <c r="M17">
        <v>2463983.600281239</v>
      </c>
      <c r="N17">
        <v>8356910.9644013885</v>
      </c>
      <c r="O17">
        <v>5959534.2747111106</v>
      </c>
    </row>
    <row r="18" spans="1:16" x14ac:dyDescent="0.25">
      <c r="A18" s="1" t="s">
        <v>36</v>
      </c>
      <c r="B18" t="s">
        <v>17</v>
      </c>
      <c r="C18">
        <v>0</v>
      </c>
      <c r="D18">
        <v>870073.26052499993</v>
      </c>
      <c r="E18">
        <v>667642.40708666667</v>
      </c>
      <c r="F18">
        <v>1256023.4876000001</v>
      </c>
      <c r="G18">
        <v>825057.92247083341</v>
      </c>
      <c r="H18">
        <v>2090936.864099999</v>
      </c>
      <c r="I18">
        <v>0</v>
      </c>
      <c r="J18">
        <v>1428671.112644363</v>
      </c>
      <c r="K18">
        <v>2749091.211213232</v>
      </c>
      <c r="L18">
        <v>4483445.1263967007</v>
      </c>
      <c r="M18">
        <v>3671588.465961596</v>
      </c>
      <c r="N18">
        <v>12452655.08441776</v>
      </c>
      <c r="O18">
        <v>6326995.8888888881</v>
      </c>
    </row>
    <row r="19" spans="1:16" x14ac:dyDescent="0.25">
      <c r="A19" s="1" t="s">
        <v>37</v>
      </c>
      <c r="B19" t="s">
        <v>24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3497696.1655686861</v>
      </c>
      <c r="K19">
        <v>6730370.4142666869</v>
      </c>
      <c r="L19">
        <v>10976444.25532594</v>
      </c>
      <c r="M19">
        <v>8988843.3980934322</v>
      </c>
      <c r="N19">
        <v>30486795.42438513</v>
      </c>
      <c r="O19">
        <v>0</v>
      </c>
    </row>
    <row r="20" spans="1:16" x14ac:dyDescent="0.25">
      <c r="A20" s="1" t="s">
        <v>38</v>
      </c>
      <c r="B20" t="s">
        <v>21</v>
      </c>
      <c r="C20">
        <v>253583.61551249999</v>
      </c>
      <c r="D20">
        <v>0</v>
      </c>
      <c r="E20">
        <v>667642.40708666667</v>
      </c>
      <c r="F20">
        <v>1256023.4876000001</v>
      </c>
      <c r="G20">
        <v>826070.26347999973</v>
      </c>
      <c r="H20">
        <v>2092393.9629599999</v>
      </c>
      <c r="I20">
        <v>2323656.165599999</v>
      </c>
      <c r="J20">
        <v>591501.4717295114</v>
      </c>
      <c r="K20">
        <v>1138184.626930349</v>
      </c>
      <c r="L20">
        <v>1856245.546795977</v>
      </c>
      <c r="M20">
        <v>1520118.9146896349</v>
      </c>
      <c r="N20">
        <v>5155674.9094895683</v>
      </c>
      <c r="O20">
        <v>198480.33333333331</v>
      </c>
    </row>
    <row r="21" spans="1:16" x14ac:dyDescent="0.25">
      <c r="A21" s="1" t="s">
        <v>39</v>
      </c>
      <c r="B21" t="s">
        <v>21</v>
      </c>
      <c r="C21">
        <v>1735224.3389249991</v>
      </c>
      <c r="D21">
        <v>875907.08506874996</v>
      </c>
      <c r="E21">
        <v>27352194.545223329</v>
      </c>
      <c r="F21">
        <v>14199146.5756</v>
      </c>
      <c r="G21">
        <v>826070.26347999973</v>
      </c>
      <c r="H21">
        <v>96579426.638520002</v>
      </c>
      <c r="I21">
        <v>28326894.291499991</v>
      </c>
      <c r="J21">
        <v>2258108.7081771311</v>
      </c>
      <c r="K21">
        <v>4345119.5650787242</v>
      </c>
      <c r="L21">
        <v>7086380.0583268879</v>
      </c>
      <c r="M21">
        <v>5803187.1817474179</v>
      </c>
      <c r="N21">
        <v>19682240.816084649</v>
      </c>
      <c r="O21">
        <v>0</v>
      </c>
    </row>
    <row r="22" spans="1:16" x14ac:dyDescent="0.25">
      <c r="A22" s="1" t="s">
        <v>40</v>
      </c>
      <c r="B22" t="s">
        <v>40</v>
      </c>
      <c r="C22">
        <v>61356209.579437502</v>
      </c>
      <c r="D22">
        <v>64677112.506037518</v>
      </c>
      <c r="E22">
        <v>315288680.5274266</v>
      </c>
      <c r="F22">
        <v>145930709.77239999</v>
      </c>
      <c r="G22">
        <v>28467029.17776667</v>
      </c>
      <c r="H22">
        <v>1101891671.20578</v>
      </c>
      <c r="I22">
        <v>502870587.06534982</v>
      </c>
      <c r="J22">
        <v>189784108.27310401</v>
      </c>
      <c r="K22">
        <v>365188194.44444442</v>
      </c>
      <c r="L22">
        <v>595579085.88888884</v>
      </c>
      <c r="M22">
        <v>487732366.66666663</v>
      </c>
      <c r="N22">
        <v>1654205800</v>
      </c>
      <c r="O22">
        <v>0</v>
      </c>
    </row>
    <row r="23" spans="1:16" x14ac:dyDescent="0.25">
      <c r="A23" s="1" t="s">
        <v>41</v>
      </c>
      <c r="B23" t="s">
        <v>19</v>
      </c>
      <c r="C23">
        <v>2308543.8174749999</v>
      </c>
      <c r="D23">
        <v>5704647.0002812501</v>
      </c>
      <c r="E23">
        <v>26103408.507399999</v>
      </c>
      <c r="F23">
        <v>22122680.280400001</v>
      </c>
      <c r="G23">
        <v>3045121.7555733328</v>
      </c>
      <c r="H23">
        <v>122528171.68683</v>
      </c>
      <c r="I23">
        <v>51845111.240299992</v>
      </c>
      <c r="J23">
        <v>6066492.5154623259</v>
      </c>
      <c r="K23">
        <v>11673324.32884418</v>
      </c>
      <c r="L23">
        <v>19037821.974596169</v>
      </c>
      <c r="M23">
        <v>15590476.87846571</v>
      </c>
      <c r="N23">
        <v>52877067.506060272</v>
      </c>
      <c r="O23">
        <v>0</v>
      </c>
    </row>
    <row r="24" spans="1:16" x14ac:dyDescent="0.25">
      <c r="A24" s="1" t="s">
        <v>42</v>
      </c>
      <c r="B24" t="s">
        <v>24</v>
      </c>
      <c r="C24">
        <v>6611832.329549999</v>
      </c>
      <c r="D24">
        <v>10240862.2848</v>
      </c>
      <c r="E24">
        <v>11743970.901623329</v>
      </c>
      <c r="F24">
        <v>4353664.1987999994</v>
      </c>
      <c r="G24">
        <v>2828480.7796116672</v>
      </c>
      <c r="H24">
        <v>40925535.680820003</v>
      </c>
      <c r="I24">
        <v>24072725.806499999</v>
      </c>
      <c r="J24">
        <v>18469747.678151678</v>
      </c>
      <c r="K24">
        <v>35540034.767940402</v>
      </c>
      <c r="L24">
        <v>57961625.653726779</v>
      </c>
      <c r="M24">
        <v>47466006.657617167</v>
      </c>
      <c r="N24">
        <v>160986944.64854169</v>
      </c>
      <c r="O24">
        <v>5306737.3333333321</v>
      </c>
    </row>
    <row r="25" spans="1:16" x14ac:dyDescent="0.25">
      <c r="A25" s="1" t="s">
        <v>43</v>
      </c>
      <c r="B25" t="s">
        <v>21</v>
      </c>
      <c r="C25">
        <v>972777.28091249987</v>
      </c>
      <c r="D25">
        <v>555880.13866875006</v>
      </c>
      <c r="E25">
        <v>23143228.161200002</v>
      </c>
      <c r="F25">
        <v>24347936.477200001</v>
      </c>
      <c r="G25">
        <v>1894090.0281508339</v>
      </c>
      <c r="H25">
        <v>95066958.021840006</v>
      </c>
      <c r="I25">
        <v>42023849.858549997</v>
      </c>
      <c r="J25">
        <v>4747475.8646002617</v>
      </c>
      <c r="K25">
        <v>9135233.4762775749</v>
      </c>
      <c r="L25">
        <v>14898493.669708891</v>
      </c>
      <c r="M25">
        <v>12200692.98848936</v>
      </c>
      <c r="N25">
        <v>41380188.162439138</v>
      </c>
      <c r="O25">
        <v>0</v>
      </c>
    </row>
    <row r="27" spans="1:16" x14ac:dyDescent="0.25">
      <c r="A27" s="2" t="s">
        <v>77</v>
      </c>
      <c r="C27">
        <f>C3+C8+C9+C23</f>
        <v>20117916.199237496</v>
      </c>
      <c r="D27">
        <f t="shared" ref="D27:P27" si="0">D3+D8+D9+D23</f>
        <v>15537141.567018749</v>
      </c>
      <c r="E27">
        <f t="shared" si="0"/>
        <v>108948092.10536999</v>
      </c>
      <c r="F27">
        <f t="shared" si="0"/>
        <v>37246013.893200003</v>
      </c>
      <c r="G27">
        <f t="shared" si="0"/>
        <v>7513594.9700349979</v>
      </c>
      <c r="H27">
        <f t="shared" si="0"/>
        <v>379410329.40824997</v>
      </c>
      <c r="I27">
        <f t="shared" si="0"/>
        <v>178201250.01804999</v>
      </c>
      <c r="J27">
        <f t="shared" si="0"/>
        <v>32993692.015182011</v>
      </c>
      <c r="K27">
        <f t="shared" si="0"/>
        <v>63487438.040606298</v>
      </c>
      <c r="L27">
        <f t="shared" si="0"/>
        <v>103540560.42576705</v>
      </c>
      <c r="M27">
        <f t="shared" si="0"/>
        <v>84791564.678739682</v>
      </c>
      <c r="N27">
        <f t="shared" si="0"/>
        <v>287581279.54732752</v>
      </c>
      <c r="O27">
        <f t="shared" si="0"/>
        <v>0</v>
      </c>
      <c r="P27">
        <f t="shared" si="0"/>
        <v>0</v>
      </c>
    </row>
    <row r="28" spans="1:16" x14ac:dyDescent="0.25">
      <c r="A28" s="2" t="s">
        <v>21</v>
      </c>
      <c r="C28">
        <f>C4+C7+C16+C20+C21+C25</f>
        <v>9965242.4156249985</v>
      </c>
      <c r="D28">
        <f t="shared" ref="D28:P28" si="1">D4+D7+D16+D20+D21+D25</f>
        <v>8702399.4122625012</v>
      </c>
      <c r="E28">
        <f t="shared" si="1"/>
        <v>77995626.268956661</v>
      </c>
      <c r="F28">
        <f t="shared" si="1"/>
        <v>62563183.079599999</v>
      </c>
      <c r="G28">
        <f t="shared" si="1"/>
        <v>5778442.4803233333</v>
      </c>
      <c r="H28">
        <f t="shared" si="1"/>
        <v>334604539.46324998</v>
      </c>
      <c r="I28">
        <f t="shared" si="1"/>
        <v>122038891.24279998</v>
      </c>
      <c r="J28">
        <f t="shared" si="1"/>
        <v>29402508.391811751</v>
      </c>
      <c r="K28">
        <f t="shared" si="1"/>
        <v>56577176.29492934</v>
      </c>
      <c r="L28">
        <f t="shared" si="1"/>
        <v>92270734.521333724</v>
      </c>
      <c r="M28">
        <f t="shared" si="1"/>
        <v>75562464.815222934</v>
      </c>
      <c r="N28">
        <f t="shared" si="1"/>
        <v>256279624.03623745</v>
      </c>
      <c r="O28">
        <f t="shared" si="1"/>
        <v>6104140.777777778</v>
      </c>
      <c r="P28">
        <f t="shared" si="1"/>
        <v>0</v>
      </c>
    </row>
    <row r="29" spans="1:16" x14ac:dyDescent="0.25">
      <c r="A29" s="2" t="s">
        <v>17</v>
      </c>
      <c r="C29">
        <f>C2+C5+C10+C11+C12+C17+C18</f>
        <v>20033105.625487503</v>
      </c>
      <c r="D29">
        <f t="shared" ref="D29:P29" si="2">D2+D5+D10+D11+D12+D17+D18</f>
        <v>17894840.086199999</v>
      </c>
      <c r="E29">
        <f t="shared" si="2"/>
        <v>99582517.187533304</v>
      </c>
      <c r="F29">
        <f t="shared" si="2"/>
        <v>34817301.411200002</v>
      </c>
      <c r="G29">
        <f t="shared" si="2"/>
        <v>8657540.3103933334</v>
      </c>
      <c r="H29">
        <f t="shared" si="2"/>
        <v>283439241.54378003</v>
      </c>
      <c r="I29">
        <f t="shared" si="2"/>
        <v>151376517.28814998</v>
      </c>
      <c r="J29">
        <f t="shared" si="2"/>
        <v>58651781.702414908</v>
      </c>
      <c r="K29">
        <f t="shared" si="2"/>
        <v>112859493.114314</v>
      </c>
      <c r="L29">
        <f t="shared" si="2"/>
        <v>184060587.8433786</v>
      </c>
      <c r="M29">
        <f t="shared" si="2"/>
        <v>150731125.79990235</v>
      </c>
      <c r="N29">
        <f t="shared" si="2"/>
        <v>511223612.74238735</v>
      </c>
      <c r="O29">
        <f t="shared" si="2"/>
        <v>18291529.666666668</v>
      </c>
      <c r="P29">
        <f t="shared" si="2"/>
        <v>0</v>
      </c>
    </row>
    <row r="30" spans="1:16" x14ac:dyDescent="0.25">
      <c r="A30" s="2" t="s">
        <v>24</v>
      </c>
      <c r="C30">
        <f>C6+C13+C14+C15+C19+C24</f>
        <v>11239945.339087497</v>
      </c>
      <c r="D30">
        <f t="shared" ref="D30:P30" si="3">D6+D13+D14+D15+D19+D24</f>
        <v>22542731.440556251</v>
      </c>
      <c r="E30">
        <f t="shared" si="3"/>
        <v>28762444.965566657</v>
      </c>
      <c r="F30">
        <f t="shared" si="3"/>
        <v>11304211.3884</v>
      </c>
      <c r="G30">
        <f t="shared" si="3"/>
        <v>6517451.4170149993</v>
      </c>
      <c r="H30">
        <f t="shared" si="3"/>
        <v>104437560.79050002</v>
      </c>
      <c r="I30">
        <f t="shared" si="3"/>
        <v>51253928.516350001</v>
      </c>
      <c r="J30">
        <f t="shared" si="3"/>
        <v>68736477.620303556</v>
      </c>
      <c r="K30">
        <f t="shared" si="3"/>
        <v>132264763.27779558</v>
      </c>
      <c r="L30">
        <f t="shared" si="3"/>
        <v>215708306.03693998</v>
      </c>
      <c r="M30">
        <f t="shared" si="3"/>
        <v>176648114.59259659</v>
      </c>
      <c r="N30">
        <f t="shared" si="3"/>
        <v>599124347.05783212</v>
      </c>
      <c r="O30">
        <f t="shared" si="3"/>
        <v>10519457.666666664</v>
      </c>
      <c r="P30">
        <f t="shared" si="3"/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5"/>
  <sheetViews>
    <sheetView workbookViewId="0">
      <selection activeCell="A32" sqref="A32:A35"/>
    </sheetView>
  </sheetViews>
  <sheetFormatPr baseColWidth="10" defaultColWidth="9.140625" defaultRowHeight="15" x14ac:dyDescent="0.25"/>
  <cols>
    <col min="1" max="1" width="35.5703125" customWidth="1"/>
    <col min="2" max="3" width="9.28515625" bestFit="1" customWidth="1"/>
    <col min="4" max="4" width="12" bestFit="1" customWidth="1"/>
    <col min="5" max="5" width="21.85546875" customWidth="1"/>
  </cols>
  <sheetData>
    <row r="1" spans="1:6" x14ac:dyDescent="0.25">
      <c r="A1" s="1" t="s">
        <v>0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1</v>
      </c>
    </row>
    <row r="2" spans="1:6" x14ac:dyDescent="0.25">
      <c r="A2" s="1" t="s">
        <v>18</v>
      </c>
      <c r="B2">
        <v>13361</v>
      </c>
      <c r="C2">
        <v>4789</v>
      </c>
      <c r="D2">
        <v>37113888.888888888</v>
      </c>
      <c r="E2">
        <v>14899111.11111111</v>
      </c>
      <c r="F2" t="s">
        <v>19</v>
      </c>
    </row>
    <row r="3" spans="1:6" x14ac:dyDescent="0.25">
      <c r="A3" s="1" t="s">
        <v>26</v>
      </c>
      <c r="B3">
        <v>10589</v>
      </c>
      <c r="C3">
        <v>2962</v>
      </c>
      <c r="D3">
        <v>29413888.888888892</v>
      </c>
      <c r="E3">
        <v>9215111.1111111101</v>
      </c>
      <c r="F3" t="s">
        <v>19</v>
      </c>
    </row>
    <row r="4" spans="1:6" x14ac:dyDescent="0.25">
      <c r="A4" s="1" t="s">
        <v>27</v>
      </c>
      <c r="B4">
        <v>11919</v>
      </c>
      <c r="C4">
        <v>2844</v>
      </c>
      <c r="D4">
        <v>33108333.333333328</v>
      </c>
      <c r="E4">
        <v>8848000</v>
      </c>
      <c r="F4" t="s">
        <v>19</v>
      </c>
    </row>
    <row r="5" spans="1:6" x14ac:dyDescent="0.25">
      <c r="A5" s="1" t="s">
        <v>41</v>
      </c>
      <c r="B5">
        <v>14637</v>
      </c>
      <c r="C5">
        <v>2627</v>
      </c>
      <c r="D5">
        <v>40658333.333333343</v>
      </c>
      <c r="E5">
        <v>8172888.8888888881</v>
      </c>
      <c r="F5" t="s">
        <v>19</v>
      </c>
    </row>
    <row r="6" spans="1:6" x14ac:dyDescent="0.25">
      <c r="A6" s="1" t="s">
        <v>61</v>
      </c>
      <c r="B6">
        <v>50506</v>
      </c>
      <c r="C6">
        <v>13223</v>
      </c>
      <c r="D6">
        <v>140294444.44444439</v>
      </c>
      <c r="E6">
        <v>41138222.222222216</v>
      </c>
    </row>
    <row r="7" spans="1:6" x14ac:dyDescent="0.25">
      <c r="A7" s="1" t="s">
        <v>34</v>
      </c>
      <c r="B7">
        <v>31709</v>
      </c>
      <c r="C7">
        <v>9876</v>
      </c>
      <c r="D7">
        <v>88080555.555555552</v>
      </c>
      <c r="E7">
        <v>30725333.333333328</v>
      </c>
      <c r="F7" t="s">
        <v>21</v>
      </c>
    </row>
    <row r="8" spans="1:6" x14ac:dyDescent="0.25">
      <c r="A8" s="1" t="s">
        <v>20</v>
      </c>
      <c r="B8">
        <v>12774</v>
      </c>
      <c r="C8">
        <v>2668</v>
      </c>
      <c r="D8">
        <v>35483333.333333343</v>
      </c>
      <c r="E8">
        <v>8300444.444444444</v>
      </c>
      <c r="F8" t="s">
        <v>21</v>
      </c>
    </row>
    <row r="9" spans="1:6" x14ac:dyDescent="0.25">
      <c r="A9" s="1" t="s">
        <v>25</v>
      </c>
      <c r="B9">
        <v>17252</v>
      </c>
      <c r="C9">
        <v>3756</v>
      </c>
      <c r="D9">
        <v>47922222.222222216</v>
      </c>
      <c r="E9">
        <v>11685333.33333333</v>
      </c>
      <c r="F9" t="s">
        <v>21</v>
      </c>
    </row>
    <row r="10" spans="1:6" x14ac:dyDescent="0.25">
      <c r="A10" s="1" t="s">
        <v>39</v>
      </c>
      <c r="B10">
        <v>11569</v>
      </c>
      <c r="C10">
        <v>2521</v>
      </c>
      <c r="D10">
        <v>32136111.111111108</v>
      </c>
      <c r="E10">
        <v>7843111.1111111101</v>
      </c>
      <c r="F10" t="s">
        <v>21</v>
      </c>
    </row>
    <row r="11" spans="1:6" x14ac:dyDescent="0.25">
      <c r="A11" s="1" t="s">
        <v>43</v>
      </c>
      <c r="B11">
        <v>15453</v>
      </c>
      <c r="C11">
        <v>2950</v>
      </c>
      <c r="D11">
        <v>42925000</v>
      </c>
      <c r="E11">
        <v>9177777.777777778</v>
      </c>
      <c r="F11" t="s">
        <v>21</v>
      </c>
    </row>
    <row r="12" spans="1:6" x14ac:dyDescent="0.25">
      <c r="A12" s="1" t="s">
        <v>38</v>
      </c>
      <c r="B12">
        <v>10143</v>
      </c>
      <c r="C12">
        <v>2443</v>
      </c>
      <c r="D12">
        <v>28175000</v>
      </c>
      <c r="E12">
        <v>7600444.444444444</v>
      </c>
      <c r="F12" t="s">
        <v>21</v>
      </c>
    </row>
    <row r="13" spans="1:6" x14ac:dyDescent="0.25">
      <c r="A13" s="1" t="s">
        <v>62</v>
      </c>
      <c r="B13">
        <v>98899</v>
      </c>
      <c r="C13">
        <v>24215</v>
      </c>
      <c r="D13">
        <v>274719444.44444442</v>
      </c>
      <c r="E13">
        <v>75335555.555555552</v>
      </c>
    </row>
    <row r="14" spans="1:6" x14ac:dyDescent="0.25">
      <c r="A14" s="1" t="s">
        <v>23</v>
      </c>
      <c r="B14">
        <v>6395</v>
      </c>
      <c r="C14">
        <v>3235</v>
      </c>
      <c r="D14">
        <v>17763888.888888892</v>
      </c>
      <c r="E14">
        <v>10064444.44444444</v>
      </c>
      <c r="F14" t="s">
        <v>24</v>
      </c>
    </row>
    <row r="15" spans="1:6" x14ac:dyDescent="0.25">
      <c r="A15" s="1" t="s">
        <v>31</v>
      </c>
      <c r="B15">
        <v>17365</v>
      </c>
      <c r="C15">
        <v>4477</v>
      </c>
      <c r="D15">
        <v>48236111.111111112</v>
      </c>
      <c r="E15">
        <v>13928444.44444444</v>
      </c>
      <c r="F15" t="s">
        <v>24</v>
      </c>
    </row>
    <row r="16" spans="1:6" x14ac:dyDescent="0.25">
      <c r="A16" s="1" t="s">
        <v>32</v>
      </c>
      <c r="B16">
        <v>8932</v>
      </c>
      <c r="C16">
        <v>1416</v>
      </c>
      <c r="D16">
        <v>24811111.111111108</v>
      </c>
      <c r="E16">
        <v>4405333.333333333</v>
      </c>
      <c r="F16" t="s">
        <v>24</v>
      </c>
    </row>
    <row r="17" spans="1:6" x14ac:dyDescent="0.25">
      <c r="A17" s="1" t="s">
        <v>37</v>
      </c>
      <c r="B17">
        <v>7026</v>
      </c>
      <c r="C17">
        <v>1213</v>
      </c>
      <c r="D17">
        <v>19516666.666666672</v>
      </c>
      <c r="E17">
        <v>3773777.7777777771</v>
      </c>
      <c r="F17" t="s">
        <v>24</v>
      </c>
    </row>
    <row r="18" spans="1:6" x14ac:dyDescent="0.25">
      <c r="A18" s="1" t="s">
        <v>42</v>
      </c>
      <c r="B18">
        <v>20630</v>
      </c>
      <c r="C18">
        <v>7160</v>
      </c>
      <c r="D18">
        <v>57305555.555555552</v>
      </c>
      <c r="E18">
        <v>22275555.55555556</v>
      </c>
      <c r="F18" t="s">
        <v>24</v>
      </c>
    </row>
    <row r="19" spans="1:6" x14ac:dyDescent="0.25">
      <c r="A19" s="1" t="s">
        <v>63</v>
      </c>
      <c r="B19">
        <v>60347</v>
      </c>
      <c r="C19">
        <v>17502</v>
      </c>
      <c r="D19">
        <v>167630555.55555561</v>
      </c>
      <c r="E19">
        <v>54450666.666666657</v>
      </c>
    </row>
    <row r="20" spans="1:6" x14ac:dyDescent="0.25">
      <c r="A20" s="1" t="s">
        <v>16</v>
      </c>
      <c r="B20">
        <v>9665</v>
      </c>
      <c r="C20">
        <v>3189</v>
      </c>
      <c r="D20">
        <v>26847222.22222222</v>
      </c>
      <c r="E20">
        <v>9921333.3333333302</v>
      </c>
      <c r="F20" t="s">
        <v>17</v>
      </c>
    </row>
    <row r="21" spans="1:6" x14ac:dyDescent="0.25">
      <c r="A21" s="1" t="s">
        <v>64</v>
      </c>
      <c r="B21">
        <v>27046</v>
      </c>
      <c r="C21">
        <v>5573</v>
      </c>
      <c r="D21">
        <v>75127777.777777776</v>
      </c>
      <c r="E21">
        <v>17338222.22222222</v>
      </c>
    </row>
    <row r="22" spans="1:6" x14ac:dyDescent="0.25">
      <c r="A22" s="1" t="s">
        <v>36</v>
      </c>
      <c r="B22">
        <v>13672</v>
      </c>
      <c r="C22">
        <v>2115</v>
      </c>
      <c r="D22">
        <v>37977777.777777784</v>
      </c>
      <c r="E22">
        <v>6580000</v>
      </c>
      <c r="F22" t="s">
        <v>17</v>
      </c>
    </row>
    <row r="23" spans="1:6" x14ac:dyDescent="0.25">
      <c r="A23" s="1" t="s">
        <v>28</v>
      </c>
      <c r="B23">
        <v>10133</v>
      </c>
      <c r="C23">
        <v>2420</v>
      </c>
      <c r="D23">
        <v>28147222.22222222</v>
      </c>
      <c r="E23">
        <v>7528888.888888889</v>
      </c>
      <c r="F23" t="s">
        <v>17</v>
      </c>
    </row>
    <row r="24" spans="1:6" x14ac:dyDescent="0.25">
      <c r="A24" s="1" t="s">
        <v>65</v>
      </c>
      <c r="B24">
        <v>26081</v>
      </c>
      <c r="C24">
        <v>6559</v>
      </c>
      <c r="D24">
        <v>72447222.222222224</v>
      </c>
      <c r="E24">
        <v>20405777.777777769</v>
      </c>
    </row>
    <row r="25" spans="1:6" x14ac:dyDescent="0.25">
      <c r="A25" s="1" t="s">
        <v>66</v>
      </c>
      <c r="B25">
        <v>86597</v>
      </c>
      <c r="C25">
        <v>19857</v>
      </c>
      <c r="D25">
        <v>240547222.22222221</v>
      </c>
      <c r="E25">
        <v>61777333.333333328</v>
      </c>
    </row>
    <row r="26" spans="1:6" x14ac:dyDescent="0.25">
      <c r="A26" s="1" t="s">
        <v>30</v>
      </c>
      <c r="B26">
        <v>14667.954400000001</v>
      </c>
      <c r="C26">
        <v>3688.7815999999998</v>
      </c>
      <c r="D26">
        <v>40744317.777777784</v>
      </c>
      <c r="E26">
        <v>11476209.422222219</v>
      </c>
      <c r="F26" t="s">
        <v>17</v>
      </c>
    </row>
    <row r="27" spans="1:6" x14ac:dyDescent="0.25">
      <c r="A27" s="1" t="s">
        <v>29</v>
      </c>
      <c r="B27">
        <v>11413.045599999999</v>
      </c>
      <c r="C27">
        <v>2870.2184000000002</v>
      </c>
      <c r="D27">
        <v>31702904.44444444</v>
      </c>
      <c r="E27">
        <v>8929568.355555553</v>
      </c>
      <c r="F27" t="s">
        <v>17</v>
      </c>
    </row>
    <row r="28" spans="1:6" x14ac:dyDescent="0.25">
      <c r="A28" s="1" t="s">
        <v>22</v>
      </c>
      <c r="B28">
        <v>13574.3874</v>
      </c>
      <c r="C28">
        <v>2797.0886999999998</v>
      </c>
      <c r="D28">
        <v>37706631.666666657</v>
      </c>
      <c r="E28">
        <v>8702053.7333333343</v>
      </c>
      <c r="F28" t="s">
        <v>17</v>
      </c>
    </row>
    <row r="29" spans="1:6" x14ac:dyDescent="0.25">
      <c r="A29" s="1" t="s">
        <v>35</v>
      </c>
      <c r="B29">
        <v>13471.6126</v>
      </c>
      <c r="C29">
        <v>2775.9113000000002</v>
      </c>
      <c r="F29" t="s">
        <v>17</v>
      </c>
    </row>
    <row r="32" spans="1:6" x14ac:dyDescent="0.25">
      <c r="A32" s="3" t="s">
        <v>77</v>
      </c>
      <c r="B32">
        <v>50506</v>
      </c>
      <c r="C32">
        <v>13223</v>
      </c>
      <c r="D32">
        <v>140294444.44444439</v>
      </c>
      <c r="E32">
        <v>41138222.222222216</v>
      </c>
    </row>
    <row r="33" spans="1:5" x14ac:dyDescent="0.25">
      <c r="A33" s="3" t="s">
        <v>21</v>
      </c>
      <c r="B33">
        <v>98899</v>
      </c>
      <c r="C33">
        <v>24215</v>
      </c>
      <c r="D33">
        <v>274719444.44444442</v>
      </c>
      <c r="E33">
        <v>75335555.555555552</v>
      </c>
    </row>
    <row r="34" spans="1:5" x14ac:dyDescent="0.25">
      <c r="A34" s="3" t="s">
        <v>17</v>
      </c>
      <c r="B34">
        <v>60347</v>
      </c>
      <c r="C34">
        <v>17502</v>
      </c>
      <c r="D34">
        <v>167630555.55555561</v>
      </c>
      <c r="E34">
        <v>54450666.666666657</v>
      </c>
    </row>
    <row r="35" spans="1:5" x14ac:dyDescent="0.25">
      <c r="A35" s="3" t="s">
        <v>24</v>
      </c>
      <c r="B35">
        <v>86597</v>
      </c>
      <c r="C35">
        <v>19857</v>
      </c>
      <c r="D35">
        <v>240547222.22222221</v>
      </c>
      <c r="E35">
        <v>61777333.333333328</v>
      </c>
    </row>
  </sheetData>
  <pageMargins left="0.75" right="0.75" top="1" bottom="1" header="0.5" footer="0.5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Potenziale</vt:lpstr>
      <vt:lpstr>Methan</vt:lpstr>
      <vt:lpstr>Verbrennung</vt:lpstr>
      <vt:lpstr>Verbrennung_Müll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Wenzel, Jonathan</dc:creator>
  <cp:lastModifiedBy>Bala Krishnan, Rohith Krishnan</cp:lastModifiedBy>
  <dcterms:created xsi:type="dcterms:W3CDTF">2025-07-29T06:34:34Z</dcterms:created>
  <dcterms:modified xsi:type="dcterms:W3CDTF">2025-08-20T12:14:56Z</dcterms:modified>
</cp:coreProperties>
</file>